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src\Entregas\output_outlook\input\"/>
    </mc:Choice>
  </mc:AlternateContent>
  <xr:revisionPtr revIDLastSave="0" documentId="13_ncr:1_{95D3EA0F-7BBC-4EB8-B939-78D46B3091E9}" xr6:coauthVersionLast="47" xr6:coauthVersionMax="47" xr10:uidLastSave="{00000000-0000-0000-0000-000000000000}"/>
  <bookViews>
    <workbookView xWindow="-28920" yWindow="-120" windowWidth="29040" windowHeight="15720" xr2:uid="{45D068CF-2534-46C3-8FEA-2AA1F2763396}"/>
  </bookViews>
  <sheets>
    <sheet name="De x PARA" sheetId="1" r:id="rId1"/>
  </sheets>
  <definedNames>
    <definedName name="Dias">#REF!</definedName>
    <definedName name="Mê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H2" i="1"/>
  <c r="I2" i="1"/>
  <c r="E3" i="1"/>
  <c r="H3" i="1"/>
  <c r="I3" i="1"/>
  <c r="E4" i="1"/>
  <c r="H4" i="1"/>
  <c r="I4" i="1"/>
  <c r="E5" i="1"/>
  <c r="H5" i="1"/>
  <c r="I5" i="1"/>
  <c r="E6" i="1"/>
  <c r="H6" i="1"/>
  <c r="I6" i="1"/>
  <c r="E7" i="1"/>
  <c r="H7" i="1"/>
  <c r="I7" i="1"/>
  <c r="E8" i="1"/>
  <c r="H8" i="1"/>
  <c r="I8" i="1"/>
  <c r="E9" i="1"/>
  <c r="H9" i="1"/>
  <c r="I9" i="1"/>
  <c r="E10" i="1"/>
  <c r="H10" i="1"/>
  <c r="I10" i="1"/>
  <c r="E11" i="1"/>
  <c r="H11" i="1"/>
  <c r="I11" i="1"/>
  <c r="E12" i="1"/>
  <c r="H12" i="1"/>
  <c r="I12" i="1"/>
  <c r="E13" i="1"/>
  <c r="H13" i="1"/>
  <c r="I13" i="1"/>
  <c r="E14" i="1"/>
  <c r="H14" i="1"/>
  <c r="I14" i="1"/>
  <c r="E15" i="1"/>
  <c r="H15" i="1"/>
  <c r="E16" i="1"/>
  <c r="H16" i="1"/>
  <c r="I16" i="1"/>
  <c r="E17" i="1"/>
  <c r="H17" i="1"/>
  <c r="I17" i="1"/>
  <c r="E18" i="1"/>
  <c r="H18" i="1"/>
  <c r="I18" i="1"/>
  <c r="E19" i="1"/>
  <c r="H19" i="1"/>
  <c r="I19" i="1"/>
  <c r="E20" i="1"/>
  <c r="H20" i="1"/>
  <c r="E21" i="1"/>
  <c r="H21" i="1"/>
  <c r="I21" i="1"/>
  <c r="E22" i="1"/>
  <c r="H22" i="1"/>
  <c r="E23" i="1"/>
  <c r="H23" i="1"/>
  <c r="I23" i="1"/>
  <c r="E24" i="1"/>
  <c r="H24" i="1"/>
  <c r="I24" i="1"/>
  <c r="E25" i="1"/>
  <c r="H25" i="1"/>
  <c r="I25" i="1"/>
  <c r="E26" i="1"/>
  <c r="H26" i="1"/>
  <c r="I26" i="1"/>
  <c r="E27" i="1"/>
  <c r="H27" i="1"/>
  <c r="I27" i="1"/>
  <c r="E28" i="1"/>
  <c r="H28" i="1"/>
  <c r="E29" i="1"/>
  <c r="H29" i="1"/>
  <c r="I29" i="1"/>
  <c r="E30" i="1"/>
  <c r="H30" i="1"/>
  <c r="I30" i="1"/>
  <c r="E31" i="1"/>
  <c r="H31" i="1"/>
  <c r="I31" i="1"/>
  <c r="E32" i="1"/>
  <c r="H32" i="1"/>
  <c r="I32" i="1"/>
  <c r="E33" i="1"/>
  <c r="H33" i="1"/>
  <c r="I33" i="1"/>
  <c r="E34" i="1"/>
  <c r="H34" i="1"/>
  <c r="I34" i="1"/>
  <c r="E35" i="1"/>
  <c r="H35" i="1"/>
  <c r="I35" i="1"/>
  <c r="E36" i="1"/>
  <c r="H36" i="1"/>
  <c r="E37" i="1"/>
  <c r="H37" i="1"/>
  <c r="I37" i="1"/>
  <c r="E38" i="1"/>
  <c r="H38" i="1"/>
  <c r="I38" i="1"/>
  <c r="E39" i="1"/>
  <c r="H39" i="1"/>
  <c r="I39" i="1"/>
  <c r="E40" i="1"/>
  <c r="H40" i="1"/>
  <c r="I40" i="1"/>
  <c r="E41" i="1"/>
  <c r="H41" i="1"/>
  <c r="I41" i="1"/>
  <c r="E42" i="1"/>
  <c r="H42" i="1"/>
  <c r="I42" i="1"/>
  <c r="E43" i="1"/>
  <c r="H43" i="1"/>
  <c r="I43" i="1"/>
  <c r="E44" i="1"/>
  <c r="H44" i="1"/>
  <c r="I44" i="1"/>
  <c r="E45" i="1"/>
  <c r="H45" i="1"/>
  <c r="I45" i="1"/>
  <c r="E46" i="1"/>
  <c r="H46" i="1"/>
  <c r="E47" i="1"/>
  <c r="H47" i="1"/>
  <c r="I47" i="1"/>
  <c r="E48" i="1"/>
  <c r="H48" i="1"/>
  <c r="I48" i="1"/>
  <c r="E49" i="1"/>
  <c r="H49" i="1"/>
  <c r="I49" i="1"/>
  <c r="E50" i="1"/>
  <c r="H50" i="1"/>
  <c r="I50" i="1"/>
  <c r="E51" i="1"/>
  <c r="H51" i="1"/>
  <c r="I51" i="1"/>
  <c r="E52" i="1"/>
  <c r="H52" i="1"/>
  <c r="I52" i="1"/>
  <c r="E53" i="1"/>
  <c r="H53" i="1"/>
  <c r="I53" i="1"/>
  <c r="E54" i="1"/>
  <c r="H54" i="1"/>
  <c r="I54" i="1"/>
  <c r="E55" i="1"/>
  <c r="H55" i="1"/>
  <c r="I55" i="1"/>
  <c r="E56" i="1"/>
  <c r="H56" i="1"/>
  <c r="I56" i="1"/>
  <c r="E57" i="1"/>
  <c r="H57" i="1"/>
  <c r="I57" i="1"/>
  <c r="E58" i="1"/>
  <c r="H58" i="1"/>
  <c r="I58" i="1"/>
  <c r="E59" i="1"/>
  <c r="H59" i="1"/>
  <c r="I59" i="1"/>
  <c r="E60" i="1"/>
  <c r="H60" i="1"/>
  <c r="I60" i="1"/>
  <c r="E61" i="1"/>
  <c r="H61" i="1"/>
  <c r="I61" i="1"/>
  <c r="E62" i="1"/>
  <c r="H62" i="1"/>
  <c r="I62" i="1"/>
  <c r="E63" i="1"/>
  <c r="H63" i="1"/>
  <c r="I63" i="1"/>
  <c r="E64" i="1"/>
  <c r="H64" i="1"/>
  <c r="I64" i="1"/>
  <c r="E65" i="1"/>
  <c r="H65" i="1"/>
  <c r="E66" i="1"/>
  <c r="H66" i="1"/>
  <c r="I66" i="1"/>
  <c r="E67" i="1"/>
  <c r="H67" i="1"/>
  <c r="I67" i="1"/>
  <c r="E68" i="1"/>
  <c r="H68" i="1"/>
  <c r="I68" i="1"/>
  <c r="E69" i="1"/>
  <c r="H69" i="1"/>
  <c r="I69" i="1"/>
  <c r="E70" i="1"/>
  <c r="H70" i="1"/>
  <c r="I70" i="1"/>
  <c r="E71" i="1"/>
  <c r="H71" i="1"/>
  <c r="E72" i="1"/>
  <c r="H72" i="1"/>
  <c r="I72" i="1"/>
  <c r="E73" i="1"/>
  <c r="H73" i="1"/>
  <c r="I73" i="1"/>
  <c r="E74" i="1"/>
  <c r="H74" i="1"/>
  <c r="I74" i="1"/>
  <c r="E75" i="1"/>
  <c r="H75" i="1"/>
  <c r="I75" i="1"/>
  <c r="E76" i="1"/>
  <c r="H76" i="1"/>
  <c r="E77" i="1"/>
  <c r="H77" i="1"/>
  <c r="I77" i="1"/>
  <c r="E78" i="1"/>
  <c r="H78" i="1"/>
  <c r="I78" i="1"/>
  <c r="E79" i="1"/>
  <c r="H79" i="1"/>
  <c r="I79" i="1"/>
  <c r="E80" i="1"/>
  <c r="H80" i="1"/>
  <c r="I80" i="1"/>
  <c r="E81" i="1"/>
  <c r="H81" i="1"/>
  <c r="I81" i="1"/>
  <c r="E82" i="1"/>
  <c r="H82" i="1"/>
  <c r="I82" i="1"/>
  <c r="E83" i="1"/>
  <c r="H83" i="1"/>
  <c r="I83" i="1"/>
  <c r="E84" i="1"/>
  <c r="H84" i="1"/>
  <c r="I84" i="1"/>
  <c r="E85" i="1"/>
  <c r="H85" i="1"/>
  <c r="I85" i="1"/>
  <c r="E86" i="1"/>
  <c r="H86" i="1"/>
  <c r="I86" i="1"/>
  <c r="E87" i="1"/>
  <c r="H87" i="1"/>
  <c r="I87" i="1"/>
  <c r="E88" i="1"/>
  <c r="H88" i="1"/>
  <c r="I88" i="1"/>
  <c r="E89" i="1"/>
  <c r="H89" i="1"/>
  <c r="I89" i="1"/>
  <c r="E90" i="1"/>
  <c r="H90" i="1"/>
  <c r="I90" i="1"/>
  <c r="E91" i="1"/>
  <c r="H91" i="1"/>
  <c r="I91" i="1"/>
  <c r="E92" i="1"/>
  <c r="H92" i="1"/>
  <c r="I92" i="1"/>
  <c r="E93" i="1"/>
  <c r="H93" i="1"/>
  <c r="I93" i="1"/>
  <c r="E94" i="1"/>
  <c r="H94" i="1"/>
  <c r="E95" i="1"/>
  <c r="H95" i="1"/>
  <c r="E96" i="1"/>
  <c r="H96" i="1"/>
  <c r="E97" i="1"/>
  <c r="H97" i="1"/>
  <c r="I97" i="1"/>
  <c r="E98" i="1"/>
  <c r="H98" i="1"/>
  <c r="I98" i="1"/>
  <c r="E99" i="1"/>
  <c r="H99" i="1"/>
  <c r="I99" i="1"/>
  <c r="E100" i="1"/>
  <c r="H100" i="1"/>
  <c r="E101" i="1"/>
  <c r="H101" i="1"/>
  <c r="E102" i="1"/>
  <c r="H102" i="1"/>
  <c r="I102" i="1"/>
  <c r="E103" i="1"/>
  <c r="H103" i="1"/>
  <c r="E104" i="1"/>
  <c r="H104" i="1"/>
  <c r="I104" i="1"/>
  <c r="E105" i="1"/>
  <c r="H105" i="1"/>
  <c r="I105" i="1"/>
  <c r="E106" i="1"/>
  <c r="H106" i="1"/>
  <c r="I106" i="1"/>
  <c r="E107" i="1"/>
  <c r="H107" i="1"/>
  <c r="I107" i="1"/>
  <c r="E108" i="1"/>
  <c r="H108" i="1"/>
  <c r="I108" i="1"/>
  <c r="E109" i="1"/>
  <c r="H109" i="1"/>
  <c r="I109" i="1"/>
  <c r="E110" i="1"/>
  <c r="H110" i="1"/>
  <c r="E111" i="1"/>
  <c r="H111" i="1"/>
  <c r="I111" i="1"/>
  <c r="E112" i="1"/>
  <c r="H112" i="1"/>
  <c r="I112" i="1"/>
  <c r="E113" i="1"/>
  <c r="H113" i="1"/>
  <c r="E114" i="1"/>
  <c r="H114" i="1"/>
  <c r="I114" i="1"/>
  <c r="E115" i="1"/>
  <c r="H115" i="1"/>
  <c r="E116" i="1"/>
  <c r="H116" i="1"/>
  <c r="E117" i="1"/>
  <c r="H117" i="1"/>
  <c r="I117" i="1"/>
  <c r="E118" i="1"/>
  <c r="H118" i="1"/>
  <c r="E119" i="1"/>
  <c r="H119" i="1"/>
  <c r="I119" i="1"/>
  <c r="E120" i="1"/>
  <c r="H120" i="1"/>
  <c r="I120" i="1"/>
  <c r="E121" i="1"/>
  <c r="H121" i="1"/>
  <c r="E122" i="1"/>
  <c r="H122" i="1"/>
  <c r="E123" i="1"/>
  <c r="H123" i="1"/>
  <c r="I123" i="1"/>
  <c r="E124" i="1"/>
  <c r="H124" i="1"/>
  <c r="E125" i="1"/>
  <c r="H125" i="1"/>
  <c r="I125" i="1"/>
  <c r="E126" i="1"/>
  <c r="H126" i="1"/>
  <c r="I126" i="1"/>
  <c r="E127" i="1"/>
  <c r="H127" i="1"/>
  <c r="E128" i="1"/>
  <c r="H128" i="1"/>
  <c r="I128" i="1"/>
  <c r="I15" i="1" l="1"/>
  <c r="I118" i="1"/>
  <c r="I94" i="1"/>
  <c r="I22" i="1"/>
  <c r="I71" i="1"/>
  <c r="I95" i="1"/>
  <c r="I96" i="1"/>
  <c r="I101" i="1"/>
  <c r="I103" i="1"/>
  <c r="I110" i="1"/>
  <c r="I113" i="1"/>
  <c r="I122" i="1"/>
  <c r="I124" i="1"/>
  <c r="I115" i="1"/>
  <c r="I121" i="1"/>
  <c r="I100" i="1"/>
  <c r="I28" i="1"/>
  <c r="I65" i="1"/>
  <c r="I127" i="1"/>
  <c r="I20" i="1"/>
  <c r="I46" i="1"/>
  <c r="I36" i="1"/>
  <c r="I76" i="1"/>
  <c r="I116" i="1"/>
</calcChain>
</file>

<file path=xl/sharedStrings.xml><?xml version="1.0" encoding="utf-8"?>
<sst xmlns="http://schemas.openxmlformats.org/spreadsheetml/2006/main" count="656" uniqueCount="171">
  <si>
    <t>Petrobras</t>
  </si>
  <si>
    <t>P-58</t>
  </si>
  <si>
    <t>JUBARTE</t>
  </si>
  <si>
    <t>CAMPOS MAR</t>
  </si>
  <si>
    <t>P-57</t>
  </si>
  <si>
    <t>GUA-OFF-0</t>
  </si>
  <si>
    <t>GUAJIRA OFFSHORE</t>
  </si>
  <si>
    <t>PALOMBETA - SUBPOOL SEAP</t>
  </si>
  <si>
    <t>SERGIPE MAR</t>
  </si>
  <si>
    <t>LAGOSTA</t>
  </si>
  <si>
    <t>SANTOS</t>
  </si>
  <si>
    <t>ANEQUIM</t>
  </si>
  <si>
    <t>#N/D</t>
  </si>
  <si>
    <t>CAVALA - SUBPOOL SEAP</t>
  </si>
  <si>
    <t>BUDIÃO SUDESTE - SUBPOOL SEAP</t>
  </si>
  <si>
    <t>BUDIÃO NOROESTE - SUBPOOL SEAP</t>
  </si>
  <si>
    <t>POT-M-952 - SUBPOOL MEQ</t>
  </si>
  <si>
    <t>POTIGUAR MAR</t>
  </si>
  <si>
    <t>TAMBAÚ</t>
  </si>
  <si>
    <t>BALEIA AZUL</t>
  </si>
  <si>
    <t>N/D - SUBPOOL EXP</t>
  </si>
  <si>
    <t>N/D</t>
  </si>
  <si>
    <t>BALEIA ANÃ</t>
  </si>
  <si>
    <t>UBARANA</t>
  </si>
  <si>
    <t>CAÇÃO</t>
  </si>
  <si>
    <t>ESPÍRITO SANTO MAR</t>
  </si>
  <si>
    <t>VERMELHO</t>
  </si>
  <si>
    <t>PIRAÚNA</t>
  </si>
  <si>
    <t>LINGUADO</t>
  </si>
  <si>
    <t>PAMPO</t>
  </si>
  <si>
    <t>ENCHOVA</t>
  </si>
  <si>
    <t>MARIMBÁ</t>
  </si>
  <si>
    <t>PARGO</t>
  </si>
  <si>
    <t>CARAPEBA</t>
  </si>
  <si>
    <t>BICUDO</t>
  </si>
  <si>
    <t>BAÚNA</t>
  </si>
  <si>
    <t>LAPA</t>
  </si>
  <si>
    <t>XARÉU</t>
  </si>
  <si>
    <t>CEARÁ</t>
  </si>
  <si>
    <t>SALGO</t>
  </si>
  <si>
    <t>PEROÁ</t>
  </si>
  <si>
    <t>OESTE DE UBARANA</t>
  </si>
  <si>
    <t>MANATI</t>
  </si>
  <si>
    <t>ALMADA MAR</t>
  </si>
  <si>
    <t>MERLUZA</t>
  </si>
  <si>
    <t>GUARICEMA</t>
  </si>
  <si>
    <t>ESPADA</t>
  </si>
  <si>
    <t>DOURADO</t>
  </si>
  <si>
    <t>CURIMÃ</t>
  </si>
  <si>
    <t>CIOBA</t>
  </si>
  <si>
    <t>CAIOBA</t>
  </si>
  <si>
    <t>ATUM</t>
  </si>
  <si>
    <t>BIQUARA</t>
  </si>
  <si>
    <t>BUDIÃO - SUBPOOL SEAP</t>
  </si>
  <si>
    <t>PAPA-TERRA</t>
  </si>
  <si>
    <t>ALBACORA LESTE</t>
  </si>
  <si>
    <t>VIOLA</t>
  </si>
  <si>
    <t>BC-14</t>
  </si>
  <si>
    <t>AGULHINHA - SUBPOOL SEAP</t>
  </si>
  <si>
    <t>GOLFINHO</t>
  </si>
  <si>
    <t>PESCADA</t>
  </si>
  <si>
    <t>ARABAIANA</t>
  </si>
  <si>
    <t>URUGUÁ</t>
  </si>
  <si>
    <t>CORVINA</t>
  </si>
  <si>
    <t>MORÉIA</t>
  </si>
  <si>
    <t>BARRACUDA</t>
  </si>
  <si>
    <t>CACHALOTE</t>
  </si>
  <si>
    <t>CARATINGA</t>
  </si>
  <si>
    <t>GAROUPINHA</t>
  </si>
  <si>
    <t>MARLIM SUL</t>
  </si>
  <si>
    <t>MEXILHÃO</t>
  </si>
  <si>
    <t>CAMARUPIM NORTE</t>
  </si>
  <si>
    <t>VOADOR</t>
  </si>
  <si>
    <t>1-RJS-652A</t>
  </si>
  <si>
    <t>PARATI</t>
  </si>
  <si>
    <t>MALHADO</t>
  </si>
  <si>
    <t>CONGRO</t>
  </si>
  <si>
    <t>GAROUPA</t>
  </si>
  <si>
    <t>BAGRE</t>
  </si>
  <si>
    <t>CHERNE</t>
  </si>
  <si>
    <t>AGULHA</t>
  </si>
  <si>
    <t>CAMORIM</t>
  </si>
  <si>
    <t>NORDESTE DE NAMORADO</t>
  </si>
  <si>
    <t>NAMORADO</t>
  </si>
  <si>
    <t>MARLIM LESTE</t>
  </si>
  <si>
    <t>TUPI</t>
  </si>
  <si>
    <t>CAXAREU</t>
  </si>
  <si>
    <t>FZA-M-59 - SUBPOOL MEQ</t>
  </si>
  <si>
    <t>FOZ DO AMAZONAS</t>
  </si>
  <si>
    <t>1-RNS-158 - SUBPOOL MEQ</t>
  </si>
  <si>
    <t>POT-M-762 - SUBPOOL MEQ</t>
  </si>
  <si>
    <t>ES-M-673</t>
  </si>
  <si>
    <t>ES-M-596</t>
  </si>
  <si>
    <t>PIRANEMA</t>
  </si>
  <si>
    <t>TAYRONA</t>
  </si>
  <si>
    <t>CARIBBEAN SEA</t>
  </si>
  <si>
    <t>Logística integrada</t>
  </si>
  <si>
    <t>BM-C-36</t>
  </si>
  <si>
    <t>PBLOG</t>
  </si>
  <si>
    <t>TARTARUGA VERDE</t>
  </si>
  <si>
    <t>ESPADARTE</t>
  </si>
  <si>
    <t>Controle de Emergência</t>
  </si>
  <si>
    <t>Jubarte</t>
  </si>
  <si>
    <t>Forno</t>
  </si>
  <si>
    <t>SS73</t>
  </si>
  <si>
    <t>ALBACORA</t>
  </si>
  <si>
    <t>UMVT</t>
  </si>
  <si>
    <t>SO Tartatuga Verde</t>
  </si>
  <si>
    <t>SUDOESTE DE TARTARUGA VERDE</t>
  </si>
  <si>
    <t>Alto do Cabo Frio</t>
  </si>
  <si>
    <t>ALTO DE CABO FRIO CENTRAL</t>
  </si>
  <si>
    <t>Água-Marinha</t>
  </si>
  <si>
    <t>ÁGUA-MARINHA</t>
  </si>
  <si>
    <t>BM-S-11</t>
  </si>
  <si>
    <t>SURURU - SUBPOOL BM-S-9/11/11A/ATP/SEP</t>
  </si>
  <si>
    <t>Aram</t>
  </si>
  <si>
    <t>1-SPS-108</t>
  </si>
  <si>
    <t>Ruba</t>
  </si>
  <si>
    <t>C-M-477 - SUBPOOL EXP</t>
  </si>
  <si>
    <t>P-31</t>
  </si>
  <si>
    <t>BM-S-9</t>
  </si>
  <si>
    <t>NOROESTE DE SAPINHOÁ - SUBPOOL BM-S-9/11/11A/ATP/SEP</t>
  </si>
  <si>
    <t>Sépia</t>
  </si>
  <si>
    <t>SÉPIA - SUBPOOL BM-S-9/11/11A/ATP/SEP</t>
  </si>
  <si>
    <t>NOROESTE DE SAPINHOÁ</t>
  </si>
  <si>
    <t>SÉPIA</t>
  </si>
  <si>
    <t>Búzios</t>
  </si>
  <si>
    <t>BÚZIOS_ECO</t>
  </si>
  <si>
    <t>Libra</t>
  </si>
  <si>
    <t>MERO</t>
  </si>
  <si>
    <t>Roncador</t>
  </si>
  <si>
    <t>RONCADOR</t>
  </si>
  <si>
    <t>SUL DE TUPI</t>
  </si>
  <si>
    <t>BÚZIOS</t>
  </si>
  <si>
    <t>SAPINHOÁ</t>
  </si>
  <si>
    <t>BERBIGÃO</t>
  </si>
  <si>
    <t>SURURU</t>
  </si>
  <si>
    <t>ATAPU</t>
  </si>
  <si>
    <t>RONCADOR - SUBPOOL</t>
  </si>
  <si>
    <t>SO Sagitário</t>
  </si>
  <si>
    <t>SUDOESTE DE SAGITÁRIO</t>
  </si>
  <si>
    <t>Norte de Brava</t>
  </si>
  <si>
    <t>NORTE DE BRAVA</t>
  </si>
  <si>
    <t>OESTE DE ATAPU - SUBPOOL BM-S-9/11/11A/ATP/SEP</t>
  </si>
  <si>
    <t>ATAPU - SUBPOOL BM-S-9/11/11A/ATP/SEP</t>
  </si>
  <si>
    <t>TUPI - SUBPOOL BM-S-9/11/11A/ATP/SEP</t>
  </si>
  <si>
    <t>SAPINHOÁ - SUBPOOL BM-S-9/11/11A/ATP/SEP</t>
  </si>
  <si>
    <t>1-SPS-108 - SUBPOOL EXP</t>
  </si>
  <si>
    <t>BERBIGÃO - SUBPOOL BM-S-9/11/11A/ATP/SEP</t>
  </si>
  <si>
    <t>NS60</t>
  </si>
  <si>
    <t>MERO - SUBPOOL</t>
  </si>
  <si>
    <t>BÚZIOS - SUBPOOL</t>
  </si>
  <si>
    <t>Itapu</t>
  </si>
  <si>
    <t>ITAPU</t>
  </si>
  <si>
    <t>Sagitário</t>
  </si>
  <si>
    <t>1-SPS-98</t>
  </si>
  <si>
    <t>Brava</t>
  </si>
  <si>
    <t>FPAG</t>
  </si>
  <si>
    <t>MARLIM</t>
  </si>
  <si>
    <t>SE([@Atendimento]="Petrobras";"Petrobras";PROCV([@[Bloco Ajustado]];DExPARA[[Bloco Ajustado]:[Índice (2)]];5;FALSO))</t>
  </si>
  <si>
    <t>SE(ÉERROS(SE(ÉERROS(ÍNDICE(DExPARA;CORRESP([@[Bacia Ajustado]]&amp;[@[Bloco Ajustado]];DExPARA[Índice (1)];0);4))=VERDADEIRO;ÍNDICE(DExPARA;CORRESP([@[Bacia Ajustado]]&amp;[@[Bloco Ajustado]]&amp;[@[Prefixo SAP]];DExPARA[Índice (1)];0);4);ÍNDICE(DExPARA;CORRESP([@[Bacia Ajustado]]&amp;[@[Bloco Ajustado]];DExPARA[Índice (1)];0);4)))=VERDADEIRO;SE(ÉERROS(ÍNDICE(DExPARA;CORRESP([@[Bacia Ajustado]]&amp;[@[Bloco Ajustado]]&amp;"Não";DExPARA[Índice (2)];0);4))=FALSO;"Petrobras";"Verificar");SE(ÉERROS(ÍNDICE(DExPARA;CORRESP([@[Bacia Ajustado]]&amp;[@[Bloco Ajustado]];DExPARA[Índice (1)];0);4))=VERDADEIRO;ÍNDICE(DExPARA;CORRESP([@[Bacia Ajustado]]&amp;[@[Bloco Ajustado]]&amp;[@[Prefixo SAP]];DExPARA[Índice (1)];0);4);ÍNDICE(DExPARA;CORRESP([@[Bacia Ajustado]]&amp;[@[Bloco Ajustado]];DExPARA[Índice (1)];0);4)))</t>
  </si>
  <si>
    <t>ALTO DE CABO FRIO CENTRAL - SUBPOOL EXP</t>
  </si>
  <si>
    <t>Contrato</t>
  </si>
  <si>
    <t>Atendimento</t>
  </si>
  <si>
    <t>Índice (2)</t>
  </si>
  <si>
    <t>Índice (1)</t>
  </si>
  <si>
    <t>Modalidade</t>
  </si>
  <si>
    <t>Integral?</t>
  </si>
  <si>
    <t>Unidade Marítima</t>
  </si>
  <si>
    <t>Bloco Ajustado</t>
  </si>
  <si>
    <t>Bacia 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</si>
</sst>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85980-CC95-4AEE-92DB-536DB3D96549}" name="DExPARA" displayName="DExPARA" ref="A1:I128" totalsRowShown="0">
  <autoFilter ref="A1:I128" xr:uid="{CF3BFC8E-1CD3-4860-853D-7BA9A0901FD6}"/>
  <tableColumns count="9">
    <tableColumn id="1" xr3:uid="{1C9B6CE8-35CD-453C-B22C-701531960255}" name="Bacia Ajustado"/>
    <tableColumn id="2" xr3:uid="{995D8C57-F40E-4D48-B89C-A8912CFEAB2E}" name="Bloco Ajustado"/>
    <tableColumn id="4" xr3:uid="{E50D98E4-9F4E-4C06-87EF-66404DDDD3B4}" name="Unidade Marítima"/>
    <tableColumn id="5" xr3:uid="{ACC9DEF0-6C67-4F10-8098-5C8F6120504A}" name="Atendimento" dataDxfId="2"/>
    <tableColumn id="7" xr3:uid="{30661125-99AF-4D00-A95F-52E1DE967D54}" name="Integral?">
      <calculatedColumnFormula>IF(DExPARA[[#This Row],[Unidade Marítima]]="","Sim","Não")</calculatedColumnFormula>
    </tableColumn>
    <tableColumn id="6" xr3:uid="{4761A287-EAA5-4C84-98AD-57D34C70CC1E}" name="Contrato"/>
    <tableColumn id="9" xr3:uid="{0FA93DD0-B4AA-4199-8AF7-9F4CCB14D160}" name="Modalidade"/>
    <tableColumn id="3" xr3:uid="{A2555208-BE77-4506-B20A-BA4BBD3CBB75}" name="Índice (1)" dataDxfId="1">
      <calculatedColumnFormula>IF(DExPARA[[#This Row],[Unidade Marítima]]="",DExPARA[[#This Row],[Bacia Ajustado]]&amp;DExPARA[[#This Row],[Bloco Ajustado]],DExPARA[[#This Row],[Bacia Ajustado]]&amp;DExPARA[[#This Row],[Bloco Ajustado]]&amp;DExPARA[[#This Row],[Unidade Marítima]])</calculatedColumnFormula>
    </tableColumn>
    <tableColumn id="8" xr3:uid="{61AFFA89-0F7D-4CCF-A2B6-F7866B9CC62A}" name="Índice (2)" dataDxfId="0">
      <calculatedColumnFormula>DExPARA[[#This Row],[Bacia Ajustado]]&amp;DExPARA[[#This Row],[Bloco Ajustado]]&amp;DExPARA[[#This Row],[Integral?]]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4C23-D436-4492-8EC1-B39AA6473073}">
  <sheetPr codeName="Planilha2">
    <tabColor theme="4" tint="-0.249977111117893"/>
  </sheetPr>
  <dimension ref="A1:L128"/>
  <sheetViews>
    <sheetView showGridLines="0" tabSelected="1" zoomScale="80" zoomScaleNormal="80" workbookViewId="0">
      <selection activeCell="B6" sqref="B6"/>
    </sheetView>
  </sheetViews>
  <sheetFormatPr defaultColWidth="15.33203125" defaultRowHeight="14.4" x14ac:dyDescent="0.3"/>
  <cols>
    <col min="1" max="1" width="19.6640625" bestFit="1" customWidth="1"/>
    <col min="2" max="2" width="54.88671875" bestFit="1" customWidth="1"/>
    <col min="3" max="3" width="19.6640625" bestFit="1" customWidth="1"/>
    <col min="4" max="4" width="15.21875" bestFit="1" customWidth="1"/>
    <col min="5" max="5" width="15.21875" customWidth="1"/>
    <col min="6" max="6" width="20.109375" bestFit="1" customWidth="1"/>
    <col min="7" max="7" width="21.88671875" bestFit="1" customWidth="1"/>
    <col min="8" max="8" width="62.109375" bestFit="1" customWidth="1"/>
    <col min="9" max="9" width="65.44140625" bestFit="1" customWidth="1"/>
  </cols>
  <sheetData>
    <row r="1" spans="1:12" ht="15" thickBot="1" x14ac:dyDescent="0.35">
      <c r="A1" t="s">
        <v>170</v>
      </c>
      <c r="B1" t="s">
        <v>169</v>
      </c>
      <c r="C1" s="7" t="s">
        <v>168</v>
      </c>
      <c r="D1" s="7" t="s">
        <v>163</v>
      </c>
      <c r="E1" s="7" t="s">
        <v>167</v>
      </c>
      <c r="F1" s="7" t="s">
        <v>162</v>
      </c>
      <c r="G1" s="7" t="s">
        <v>166</v>
      </c>
      <c r="H1" s="6" t="s">
        <v>165</v>
      </c>
      <c r="I1" s="6" t="s">
        <v>164</v>
      </c>
      <c r="K1" s="5" t="s">
        <v>163</v>
      </c>
      <c r="L1" s="4" t="s">
        <v>162</v>
      </c>
    </row>
    <row r="2" spans="1:12" ht="15" thickTop="1" x14ac:dyDescent="0.3">
      <c r="A2" t="s">
        <v>3</v>
      </c>
      <c r="B2" t="s">
        <v>161</v>
      </c>
      <c r="D2" t="s">
        <v>98</v>
      </c>
      <c r="E2" t="str">
        <f>IF(DExPARA[[#This Row],[Unidade Marítima]]="","Sim","Não")</f>
        <v>Sim</v>
      </c>
      <c r="F2" t="s">
        <v>109</v>
      </c>
      <c r="G2" t="s">
        <v>101</v>
      </c>
      <c r="H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MARALTO DE CABO FRIO CENTRAL - SUBPOOL EXP</v>
      </c>
      <c r="I2" t="str">
        <f>DExPARA[[#This Row],[Bacia Ajustado]]&amp;DExPARA[[#This Row],[Bloco Ajustado]]&amp;DExPARA[[#This Row],[Integral?]]</f>
        <v>CAMPOS MARALTO DE CABO FRIO CENTRAL - SUBPOOL EXPSim</v>
      </c>
      <c r="K2" s="3" t="s">
        <v>160</v>
      </c>
      <c r="L2" s="2" t="s">
        <v>159</v>
      </c>
    </row>
    <row r="3" spans="1:12" x14ac:dyDescent="0.3">
      <c r="A3" t="s">
        <v>3</v>
      </c>
      <c r="B3" t="s">
        <v>158</v>
      </c>
      <c r="C3" t="s">
        <v>157</v>
      </c>
      <c r="D3" t="s">
        <v>98</v>
      </c>
      <c r="E3" t="str">
        <f>IF(DExPARA[[#This Row],[Unidade Marítima]]="","Sim","Não")</f>
        <v>Não</v>
      </c>
      <c r="F3" t="s">
        <v>156</v>
      </c>
      <c r="G3" t="s">
        <v>101</v>
      </c>
      <c r="H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MARMARLIMFPAG</v>
      </c>
      <c r="I3" t="str">
        <f>DExPARA[[#This Row],[Bacia Ajustado]]&amp;DExPARA[[#This Row],[Bloco Ajustado]]&amp;DExPARA[[#This Row],[Integral?]]</f>
        <v>CAMPOS MARMARLIMNão</v>
      </c>
    </row>
    <row r="4" spans="1:12" x14ac:dyDescent="0.3">
      <c r="A4" t="s">
        <v>10</v>
      </c>
      <c r="B4" t="s">
        <v>151</v>
      </c>
      <c r="D4" t="s">
        <v>98</v>
      </c>
      <c r="E4" t="str">
        <f>IF(DExPARA[[#This Row],[Unidade Marítima]]="","Sim","Não")</f>
        <v>Sim</v>
      </c>
      <c r="F4" t="s">
        <v>126</v>
      </c>
      <c r="G4" t="s">
        <v>101</v>
      </c>
      <c r="H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SANTOSBÚZIOS - SUBPOOL</v>
      </c>
      <c r="I4" t="str">
        <f>DExPARA[[#This Row],[Bacia Ajustado]]&amp;DExPARA[[#This Row],[Bloco Ajustado]]&amp;DExPARA[[#This Row],[Integral?]]</f>
        <v>SANTOSBÚZIOS - SUBPOOLSim</v>
      </c>
    </row>
    <row r="5" spans="1:12" x14ac:dyDescent="0.3">
      <c r="A5" t="s">
        <v>10</v>
      </c>
      <c r="B5" t="s">
        <v>150</v>
      </c>
      <c r="D5" t="s">
        <v>98</v>
      </c>
      <c r="E5" t="str">
        <f>IF(DExPARA[[#This Row],[Unidade Marítima]]="","Sim","Não")</f>
        <v>Sim</v>
      </c>
      <c r="F5" t="s">
        <v>128</v>
      </c>
      <c r="G5" t="s">
        <v>101</v>
      </c>
      <c r="H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SANTOSMERO - SUBPOOL</v>
      </c>
      <c r="I5" t="str">
        <f>DExPARA[[#This Row],[Bacia Ajustado]]&amp;DExPARA[[#This Row],[Bloco Ajustado]]&amp;DExPARA[[#This Row],[Integral?]]</f>
        <v>SANTOSMERO - SUBPOOLSim</v>
      </c>
    </row>
    <row r="6" spans="1:12" x14ac:dyDescent="0.3">
      <c r="A6" t="s">
        <v>10</v>
      </c>
      <c r="B6" t="s">
        <v>155</v>
      </c>
      <c r="D6" t="s">
        <v>98</v>
      </c>
      <c r="E6" t="str">
        <f>IF(DExPARA[[#This Row],[Unidade Marítima]]="","Sim","Não")</f>
        <v>Sim</v>
      </c>
      <c r="F6" t="s">
        <v>154</v>
      </c>
      <c r="G6" t="s">
        <v>101</v>
      </c>
      <c r="H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SANTOS1-SPS-98</v>
      </c>
      <c r="I6" t="str">
        <f>DExPARA[[#This Row],[Bacia Ajustado]]&amp;DExPARA[[#This Row],[Bloco Ajustado]]&amp;DExPARA[[#This Row],[Integral?]]</f>
        <v>SANTOS1-SPS-98Sim</v>
      </c>
    </row>
    <row r="7" spans="1:12" x14ac:dyDescent="0.3">
      <c r="A7" t="s">
        <v>10</v>
      </c>
      <c r="B7" t="s">
        <v>153</v>
      </c>
      <c r="D7" t="s">
        <v>98</v>
      </c>
      <c r="E7" t="str">
        <f>IF(DExPARA[[#This Row],[Unidade Marítima]]="","Sim","Não")</f>
        <v>Sim</v>
      </c>
      <c r="F7" t="s">
        <v>152</v>
      </c>
      <c r="G7" t="s">
        <v>101</v>
      </c>
      <c r="H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SANTOSITAPU</v>
      </c>
      <c r="I7" t="str">
        <f>DExPARA[[#This Row],[Bacia Ajustado]]&amp;DExPARA[[#This Row],[Bloco Ajustado]]&amp;DExPARA[[#This Row],[Integral?]]</f>
        <v>SANTOSITAPUSim</v>
      </c>
    </row>
    <row r="8" spans="1:12" x14ac:dyDescent="0.3">
      <c r="A8" t="s">
        <v>10</v>
      </c>
      <c r="B8" t="s">
        <v>129</v>
      </c>
      <c r="D8" t="s">
        <v>98</v>
      </c>
      <c r="E8" t="str">
        <f>IF(DExPARA[[#This Row],[Unidade Marítima]]="","Sim","Não")</f>
        <v>Sim</v>
      </c>
      <c r="F8" t="s">
        <v>128</v>
      </c>
      <c r="G8" t="s">
        <v>101</v>
      </c>
      <c r="H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SANTOSMERO</v>
      </c>
      <c r="I8" t="str">
        <f>DExPARA[[#This Row],[Bacia Ajustado]]&amp;DExPARA[[#This Row],[Bloco Ajustado]]&amp;DExPARA[[#This Row],[Integral?]]</f>
        <v>SANTOSMEROSim</v>
      </c>
    </row>
    <row r="9" spans="1:12" x14ac:dyDescent="0.3">
      <c r="A9" t="s">
        <v>3</v>
      </c>
      <c r="B9" t="s">
        <v>138</v>
      </c>
      <c r="D9" t="s">
        <v>98</v>
      </c>
      <c r="E9" t="str">
        <f>IF(DExPARA[[#This Row],[Unidade Marítima]]="","Sim","Não")</f>
        <v>Sim</v>
      </c>
      <c r="F9" t="s">
        <v>130</v>
      </c>
      <c r="G9" t="s">
        <v>101</v>
      </c>
      <c r="H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MARRONCADOR - SUBPOOL</v>
      </c>
      <c r="I9" t="str">
        <f>DExPARA[[#This Row],[Bacia Ajustado]]&amp;DExPARA[[#This Row],[Bloco Ajustado]]&amp;DExPARA[[#This Row],[Integral?]]</f>
        <v>CAMPOS MARRONCADOR - SUBPOOLSim</v>
      </c>
    </row>
    <row r="10" spans="1:12" x14ac:dyDescent="0.3">
      <c r="A10" t="s">
        <v>3</v>
      </c>
      <c r="B10" t="s">
        <v>105</v>
      </c>
      <c r="C10" t="s">
        <v>119</v>
      </c>
      <c r="D10" t="s">
        <v>98</v>
      </c>
      <c r="E10" t="str">
        <f>IF(DExPARA[[#This Row],[Unidade Marítima]]="","Sim","Não")</f>
        <v>Não</v>
      </c>
      <c r="F10" t="s">
        <v>103</v>
      </c>
      <c r="G10" t="s">
        <v>101</v>
      </c>
      <c r="H1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MARALBACORAP-31</v>
      </c>
      <c r="I10" t="str">
        <f>DExPARA[[#This Row],[Bacia Ajustado]]&amp;DExPARA[[#This Row],[Bloco Ajustado]]&amp;DExPARA[[#This Row],[Integral?]]</f>
        <v>CAMPOS MARALBACORANão</v>
      </c>
    </row>
    <row r="11" spans="1:12" x14ac:dyDescent="0.3">
      <c r="A11" t="s">
        <v>3</v>
      </c>
      <c r="B11" t="s">
        <v>105</v>
      </c>
      <c r="C11" t="s">
        <v>149</v>
      </c>
      <c r="D11" t="s">
        <v>98</v>
      </c>
      <c r="E11" t="str">
        <f>IF(DExPARA[[#This Row],[Unidade Marítima]]="","Sim","Não")</f>
        <v>Não</v>
      </c>
      <c r="F11" t="s">
        <v>103</v>
      </c>
      <c r="G11" t="s">
        <v>101</v>
      </c>
      <c r="H1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MARALBACORANS60</v>
      </c>
      <c r="I11" t="str">
        <f>DExPARA[[#This Row],[Bacia Ajustado]]&amp;DExPARA[[#This Row],[Bloco Ajustado]]&amp;DExPARA[[#This Row],[Integral?]]</f>
        <v>CAMPOS MARALBACORANão</v>
      </c>
    </row>
    <row r="12" spans="1:12" x14ac:dyDescent="0.3">
      <c r="A12" t="s">
        <v>10</v>
      </c>
      <c r="B12" t="s">
        <v>136</v>
      </c>
      <c r="D12" t="s">
        <v>98</v>
      </c>
      <c r="E12" t="str">
        <f>IF(DExPARA[[#This Row],[Unidade Marítima]]="","Sim","Não")</f>
        <v>Sim</v>
      </c>
      <c r="F12" t="s">
        <v>113</v>
      </c>
      <c r="G12" t="s">
        <v>101</v>
      </c>
      <c r="H1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SANTOSSURURU</v>
      </c>
      <c r="I12" t="str">
        <f>DExPARA[[#This Row],[Bacia Ajustado]]&amp;DExPARA[[#This Row],[Bloco Ajustado]]&amp;DExPARA[[#This Row],[Integral?]]</f>
        <v>SANTOSSURURUSim</v>
      </c>
    </row>
    <row r="13" spans="1:12" x14ac:dyDescent="0.3">
      <c r="A13" t="s">
        <v>10</v>
      </c>
      <c r="B13" t="s">
        <v>145</v>
      </c>
      <c r="D13" t="s">
        <v>98</v>
      </c>
      <c r="E13" t="str">
        <f>IF(DExPARA[[#This Row],[Unidade Marítima]]="","Sim","Não")</f>
        <v>Sim</v>
      </c>
      <c r="F13" t="s">
        <v>113</v>
      </c>
      <c r="G13" t="s">
        <v>101</v>
      </c>
      <c r="H1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SANTOSTUPI - SUBPOOL BM-S-9/11/11A/ATP/SEP</v>
      </c>
      <c r="I13" t="str">
        <f>DExPARA[[#This Row],[Bacia Ajustado]]&amp;DExPARA[[#This Row],[Bloco Ajustado]]&amp;DExPARA[[#This Row],[Integral?]]</f>
        <v>SANTOSTUPI - SUBPOOL BM-S-9/11/11A/ATP/SEPSim</v>
      </c>
    </row>
    <row r="14" spans="1:12" x14ac:dyDescent="0.3">
      <c r="A14" t="s">
        <v>10</v>
      </c>
      <c r="B14" t="s">
        <v>148</v>
      </c>
      <c r="D14" t="s">
        <v>98</v>
      </c>
      <c r="E14" t="str">
        <f>IF(DExPARA[[#This Row],[Unidade Marítima]]="","Sim","Não")</f>
        <v>Sim</v>
      </c>
      <c r="F14" t="s">
        <v>113</v>
      </c>
      <c r="G14" t="s">
        <v>101</v>
      </c>
      <c r="H1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SANTOSBERBIGÃO - SUBPOOL BM-S-9/11/11A/ATP/SEP</v>
      </c>
      <c r="I14" t="str">
        <f>DExPARA[[#This Row],[Bacia Ajustado]]&amp;DExPARA[[#This Row],[Bloco Ajustado]]&amp;DExPARA[[#This Row],[Integral?]]</f>
        <v>SANTOSBERBIGÃO - SUBPOOL BM-S-9/11/11A/ATP/SEPSim</v>
      </c>
    </row>
    <row r="15" spans="1:12" x14ac:dyDescent="0.3">
      <c r="A15" t="s">
        <v>10</v>
      </c>
      <c r="B15" t="s">
        <v>147</v>
      </c>
      <c r="D15" t="s">
        <v>98</v>
      </c>
      <c r="E15" t="str">
        <f>IF(DExPARA[[#This Row],[Unidade Marítima]]="","Sim","Não")</f>
        <v>Sim</v>
      </c>
      <c r="F15" t="s">
        <v>115</v>
      </c>
      <c r="G15" t="s">
        <v>101</v>
      </c>
      <c r="H1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SANTOS1-SPS-108 - SUBPOOL EXP</v>
      </c>
      <c r="I15" t="str">
        <f>DExPARA[[#This Row],[Bacia Ajustado]]&amp;DExPARA[[#This Row],[Bloco Ajustado]]&amp;DExPARA[[#This Row],[Integral?]]</f>
        <v>SANTOS1-SPS-108 - SUBPOOL EXPSim</v>
      </c>
    </row>
    <row r="16" spans="1:12" x14ac:dyDescent="0.3">
      <c r="A16" t="s">
        <v>10</v>
      </c>
      <c r="B16" t="s">
        <v>132</v>
      </c>
      <c r="D16" t="s">
        <v>98</v>
      </c>
      <c r="E16" t="str">
        <f>IF(DExPARA[[#This Row],[Unidade Marítima]]="","Sim","Não")</f>
        <v>Sim</v>
      </c>
      <c r="F16" t="s">
        <v>113</v>
      </c>
      <c r="G16" t="s">
        <v>101</v>
      </c>
      <c r="H1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SANTOSSUL DE TUPI</v>
      </c>
      <c r="I16" t="str">
        <f>DExPARA[[#This Row],[Bacia Ajustado]]&amp;DExPARA[[#This Row],[Bloco Ajustado]]&amp;DExPARA[[#This Row],[Integral?]]</f>
        <v>SANTOSSUL DE TUPISim</v>
      </c>
    </row>
    <row r="17" spans="1:9" x14ac:dyDescent="0.3">
      <c r="A17" t="s">
        <v>10</v>
      </c>
      <c r="B17" t="s">
        <v>134</v>
      </c>
      <c r="D17" t="s">
        <v>98</v>
      </c>
      <c r="E17" t="str">
        <f>IF(DExPARA[[#This Row],[Unidade Marítima]]="","Sim","Não")</f>
        <v>Sim</v>
      </c>
      <c r="F17" t="s">
        <v>120</v>
      </c>
      <c r="G17" t="s">
        <v>101</v>
      </c>
      <c r="H1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SANTOSSAPINHOÁ</v>
      </c>
      <c r="I17" t="str">
        <f>DExPARA[[#This Row],[Bacia Ajustado]]&amp;DExPARA[[#This Row],[Bloco Ajustado]]&amp;DExPARA[[#This Row],[Integral?]]</f>
        <v>SANTOSSAPINHOÁSim</v>
      </c>
    </row>
    <row r="18" spans="1:9" x14ac:dyDescent="0.3">
      <c r="A18" t="s">
        <v>10</v>
      </c>
      <c r="B18" t="s">
        <v>146</v>
      </c>
      <c r="D18" t="s">
        <v>98</v>
      </c>
      <c r="E18" t="str">
        <f>IF(DExPARA[[#This Row],[Unidade Marítima]]="","Sim","Não")</f>
        <v>Sim</v>
      </c>
      <c r="F18" t="s">
        <v>120</v>
      </c>
      <c r="G18" t="s">
        <v>101</v>
      </c>
      <c r="H1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SANTOSSAPINHOÁ - SUBPOOL BM-S-9/11/11A/ATP/SEP</v>
      </c>
      <c r="I18" t="str">
        <f>DExPARA[[#This Row],[Bacia Ajustado]]&amp;DExPARA[[#This Row],[Bloco Ajustado]]&amp;DExPARA[[#This Row],[Integral?]]</f>
        <v>SANTOSSAPINHOÁ - SUBPOOL BM-S-9/11/11A/ATP/SEPSim</v>
      </c>
    </row>
    <row r="19" spans="1:9" x14ac:dyDescent="0.3">
      <c r="A19" t="s">
        <v>10</v>
      </c>
      <c r="B19" t="s">
        <v>144</v>
      </c>
      <c r="D19" t="s">
        <v>98</v>
      </c>
      <c r="E19" t="str">
        <f>IF(DExPARA[[#This Row],[Unidade Marítima]]="","Sim","Não")</f>
        <v>Sim</v>
      </c>
      <c r="F19" t="s">
        <v>113</v>
      </c>
      <c r="G19" t="s">
        <v>101</v>
      </c>
      <c r="H1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SANTOSATAPU - SUBPOOL BM-S-9/11/11A/ATP/SEP</v>
      </c>
      <c r="I19" t="str">
        <f>DExPARA[[#This Row],[Bacia Ajustado]]&amp;DExPARA[[#This Row],[Bloco Ajustado]]&amp;DExPARA[[#This Row],[Integral?]]</f>
        <v>SANTOSATAPU - SUBPOOL BM-S-9/11/11A/ATP/SEPSim</v>
      </c>
    </row>
    <row r="20" spans="1:9" x14ac:dyDescent="0.3">
      <c r="A20" t="s">
        <v>10</v>
      </c>
      <c r="B20" t="s">
        <v>143</v>
      </c>
      <c r="D20" t="s">
        <v>98</v>
      </c>
      <c r="E20" t="str">
        <f>IF(DExPARA[[#This Row],[Unidade Marítima]]="","Sim","Não")</f>
        <v>Sim</v>
      </c>
      <c r="F20" t="s">
        <v>113</v>
      </c>
      <c r="G20" t="s">
        <v>101</v>
      </c>
      <c r="H2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SANTOSOESTE DE ATAPU - SUBPOOL BM-S-9/11/11A/ATP/SEP</v>
      </c>
      <c r="I20" t="str">
        <f>DExPARA[[#This Row],[Bacia Ajustado]]&amp;DExPARA[[#This Row],[Bloco Ajustado]]&amp;DExPARA[[#This Row],[Integral?]]</f>
        <v>SANTOSOESTE DE ATAPU - SUBPOOL BM-S-9/11/11A/ATP/SEPSim</v>
      </c>
    </row>
    <row r="21" spans="1:9" x14ac:dyDescent="0.3">
      <c r="A21" t="s">
        <v>3</v>
      </c>
      <c r="B21" t="s">
        <v>142</v>
      </c>
      <c r="D21" t="s">
        <v>98</v>
      </c>
      <c r="E21" t="str">
        <f>IF(DExPARA[[#This Row],[Unidade Marítima]]="","Sim","Não")</f>
        <v>Sim</v>
      </c>
      <c r="F21" t="s">
        <v>141</v>
      </c>
      <c r="G21" t="s">
        <v>101</v>
      </c>
      <c r="H2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MARNORTE DE BRAVA</v>
      </c>
      <c r="I21" t="str">
        <f>DExPARA[[#This Row],[Bacia Ajustado]]&amp;DExPARA[[#This Row],[Bloco Ajustado]]&amp;DExPARA[[#This Row],[Integral?]]</f>
        <v>CAMPOS MARNORTE DE BRAVASim</v>
      </c>
    </row>
    <row r="22" spans="1:9" x14ac:dyDescent="0.3">
      <c r="A22" t="s">
        <v>10</v>
      </c>
      <c r="B22" t="s">
        <v>140</v>
      </c>
      <c r="D22" t="s">
        <v>98</v>
      </c>
      <c r="E22" t="str">
        <f>IF(DExPARA[[#This Row],[Unidade Marítima]]="","Sim","Não")</f>
        <v>Sim</v>
      </c>
      <c r="F22" t="s">
        <v>139</v>
      </c>
      <c r="G22" t="s">
        <v>101</v>
      </c>
      <c r="H2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SANTOSSUDOESTE DE SAGITÁRIO</v>
      </c>
      <c r="I22" t="str">
        <f>DExPARA[[#This Row],[Bacia Ajustado]]&amp;DExPARA[[#This Row],[Bloco Ajustado]]&amp;DExPARA[[#This Row],[Integral?]]</f>
        <v>SANTOSSUDOESTE DE SAGITÁRIOSim</v>
      </c>
    </row>
    <row r="23" spans="1:9" x14ac:dyDescent="0.3">
      <c r="A23" t="s">
        <v>10</v>
      </c>
      <c r="B23" t="s">
        <v>123</v>
      </c>
      <c r="D23" t="s">
        <v>98</v>
      </c>
      <c r="E23" t="str">
        <f>IF(DExPARA[[#This Row],[Unidade Marítima]]="","Sim","Não")</f>
        <v>Sim</v>
      </c>
      <c r="F23" t="s">
        <v>122</v>
      </c>
      <c r="G23" t="s">
        <v>101</v>
      </c>
      <c r="H2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SANTOSSÉPIA - SUBPOOL BM-S-9/11/11A/ATP/SEP</v>
      </c>
      <c r="I23" t="str">
        <f>DExPARA[[#This Row],[Bacia Ajustado]]&amp;DExPARA[[#This Row],[Bloco Ajustado]]&amp;DExPARA[[#This Row],[Integral?]]</f>
        <v>SANTOSSÉPIA - SUBPOOL BM-S-9/11/11A/ATP/SEPSim</v>
      </c>
    </row>
    <row r="24" spans="1:9" x14ac:dyDescent="0.3">
      <c r="A24" t="s">
        <v>10</v>
      </c>
      <c r="B24" t="s">
        <v>137</v>
      </c>
      <c r="D24" t="s">
        <v>98</v>
      </c>
      <c r="E24" t="str">
        <f>IF(DExPARA[[#This Row],[Unidade Marítima]]="","Sim","Não")</f>
        <v>Sim</v>
      </c>
      <c r="F24" t="s">
        <v>113</v>
      </c>
      <c r="G24" t="s">
        <v>101</v>
      </c>
      <c r="H2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SANTOSATAPU</v>
      </c>
      <c r="I24" t="str">
        <f>DExPARA[[#This Row],[Bacia Ajustado]]&amp;DExPARA[[#This Row],[Bloco Ajustado]]&amp;DExPARA[[#This Row],[Integral?]]</f>
        <v>SANTOSATAPUSim</v>
      </c>
    </row>
    <row r="25" spans="1:9" x14ac:dyDescent="0.3">
      <c r="A25" t="s">
        <v>10</v>
      </c>
      <c r="B25" t="s">
        <v>135</v>
      </c>
      <c r="D25" t="s">
        <v>98</v>
      </c>
      <c r="E25" t="str">
        <f>IF(DExPARA[[#This Row],[Unidade Marítima]]="","Sim","Não")</f>
        <v>Sim</v>
      </c>
      <c r="F25" t="s">
        <v>113</v>
      </c>
      <c r="G25" t="s">
        <v>101</v>
      </c>
      <c r="H2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SANTOSBERBIGÃO</v>
      </c>
      <c r="I25" t="str">
        <f>DExPARA[[#This Row],[Bacia Ajustado]]&amp;DExPARA[[#This Row],[Bloco Ajustado]]&amp;DExPARA[[#This Row],[Integral?]]</f>
        <v>SANTOSBERBIGÃOSim</v>
      </c>
    </row>
    <row r="26" spans="1:9" x14ac:dyDescent="0.3">
      <c r="A26" t="s">
        <v>10</v>
      </c>
      <c r="B26" t="s">
        <v>133</v>
      </c>
      <c r="D26" t="s">
        <v>98</v>
      </c>
      <c r="E26" t="str">
        <f>IF(DExPARA[[#This Row],[Unidade Marítima]]="","Sim","Não")</f>
        <v>Sim</v>
      </c>
      <c r="F26" t="s">
        <v>126</v>
      </c>
      <c r="G26" t="s">
        <v>101</v>
      </c>
      <c r="H2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SANTOSBÚZIOS</v>
      </c>
      <c r="I26" t="str">
        <f>DExPARA[[#This Row],[Bacia Ajustado]]&amp;DExPARA[[#This Row],[Bloco Ajustado]]&amp;DExPARA[[#This Row],[Integral?]]</f>
        <v>SANTOSBÚZIOSSim</v>
      </c>
    </row>
    <row r="27" spans="1:9" x14ac:dyDescent="0.3">
      <c r="A27" t="s">
        <v>3</v>
      </c>
      <c r="B27" t="s">
        <v>131</v>
      </c>
      <c r="D27" t="s">
        <v>98</v>
      </c>
      <c r="E27" t="str">
        <f>IF(DExPARA[[#This Row],[Unidade Marítima]]="","Sim","Não")</f>
        <v>Sim</v>
      </c>
      <c r="F27" t="s">
        <v>130</v>
      </c>
      <c r="G27" t="s">
        <v>101</v>
      </c>
      <c r="H2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MARRONCADOR</v>
      </c>
      <c r="I27" t="str">
        <f>DExPARA[[#This Row],[Bacia Ajustado]]&amp;DExPARA[[#This Row],[Bloco Ajustado]]&amp;DExPARA[[#This Row],[Integral?]]</f>
        <v>CAMPOS MARRONCADORSim</v>
      </c>
    </row>
    <row r="28" spans="1:9" x14ac:dyDescent="0.3">
      <c r="A28" t="s">
        <v>10</v>
      </c>
      <c r="B28" t="s">
        <v>127</v>
      </c>
      <c r="D28" t="s">
        <v>98</v>
      </c>
      <c r="E28" t="str">
        <f>IF(DExPARA[[#This Row],[Unidade Marítima]]="","Sim","Não")</f>
        <v>Sim</v>
      </c>
      <c r="F28" t="s">
        <v>126</v>
      </c>
      <c r="G28" t="s">
        <v>101</v>
      </c>
      <c r="H2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SANTOSBÚZIOS_ECO</v>
      </c>
      <c r="I28" t="str">
        <f>DExPARA[[#This Row],[Bacia Ajustado]]&amp;DExPARA[[#This Row],[Bloco Ajustado]]&amp;DExPARA[[#This Row],[Integral?]]</f>
        <v>SANTOSBÚZIOS_ECOSim</v>
      </c>
    </row>
    <row r="29" spans="1:9" x14ac:dyDescent="0.3">
      <c r="A29" t="s">
        <v>10</v>
      </c>
      <c r="B29" t="s">
        <v>125</v>
      </c>
      <c r="D29" t="s">
        <v>98</v>
      </c>
      <c r="E29" t="str">
        <f>IF(DExPARA[[#This Row],[Unidade Marítima]]="","Sim","Não")</f>
        <v>Sim</v>
      </c>
      <c r="F29" t="s">
        <v>122</v>
      </c>
      <c r="G29" t="s">
        <v>101</v>
      </c>
      <c r="H2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SANTOSSÉPIA</v>
      </c>
      <c r="I29" t="str">
        <f>DExPARA[[#This Row],[Bacia Ajustado]]&amp;DExPARA[[#This Row],[Bloco Ajustado]]&amp;DExPARA[[#This Row],[Integral?]]</f>
        <v>SANTOSSÉPIASim</v>
      </c>
    </row>
    <row r="30" spans="1:9" x14ac:dyDescent="0.3">
      <c r="A30" t="s">
        <v>10</v>
      </c>
      <c r="B30" t="s">
        <v>124</v>
      </c>
      <c r="D30" t="s">
        <v>98</v>
      </c>
      <c r="E30" t="str">
        <f>IF(DExPARA[[#This Row],[Unidade Marítima]]="","Sim","Não")</f>
        <v>Sim</v>
      </c>
      <c r="F30" t="s">
        <v>120</v>
      </c>
      <c r="G30" t="s">
        <v>101</v>
      </c>
      <c r="H3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SANTOSNOROESTE DE SAPINHOÁ</v>
      </c>
      <c r="I30" t="str">
        <f>DExPARA[[#This Row],[Bacia Ajustado]]&amp;DExPARA[[#This Row],[Bloco Ajustado]]&amp;DExPARA[[#This Row],[Integral?]]</f>
        <v>SANTOSNOROESTE DE SAPINHOÁSim</v>
      </c>
    </row>
    <row r="31" spans="1:9" x14ac:dyDescent="0.3">
      <c r="A31" t="s">
        <v>10</v>
      </c>
      <c r="B31" t="s">
        <v>121</v>
      </c>
      <c r="D31" t="s">
        <v>98</v>
      </c>
      <c r="E31" t="str">
        <f>IF(DExPARA[[#This Row],[Unidade Marítima]]="","Sim","Não")</f>
        <v>Sim</v>
      </c>
      <c r="F31" t="s">
        <v>120</v>
      </c>
      <c r="G31" t="s">
        <v>101</v>
      </c>
      <c r="H3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SANTOSNOROESTE DE SAPINHOÁ - SUBPOOL BM-S-9/11/11A/ATP/SEP</v>
      </c>
      <c r="I31" t="str">
        <f>DExPARA[[#This Row],[Bacia Ajustado]]&amp;DExPARA[[#This Row],[Bloco Ajustado]]&amp;DExPARA[[#This Row],[Integral?]]</f>
        <v>SANTOSNOROESTE DE SAPINHOÁ - SUBPOOL BM-S-9/11/11A/ATP/SEPSim</v>
      </c>
    </row>
    <row r="32" spans="1:9" x14ac:dyDescent="0.3">
      <c r="A32" s="1" t="s">
        <v>25</v>
      </c>
      <c r="B32" s="1" t="s">
        <v>105</v>
      </c>
      <c r="C32" t="s">
        <v>119</v>
      </c>
      <c r="D32" t="s">
        <v>98</v>
      </c>
      <c r="E32" t="str">
        <f>IF(DExPARA[[#This Row],[Unidade Marítima]]="","Sim","Não")</f>
        <v>Não</v>
      </c>
      <c r="F32" t="s">
        <v>103</v>
      </c>
      <c r="G32" t="s">
        <v>101</v>
      </c>
      <c r="H3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MARALBACORAP-31</v>
      </c>
      <c r="I32" t="str">
        <f>DExPARA[[#This Row],[Bacia Ajustado]]&amp;DExPARA[[#This Row],[Bloco Ajustado]]&amp;DExPARA[[#This Row],[Integral?]]</f>
        <v>ESPÍRITO SANTO MARALBACORANão</v>
      </c>
    </row>
    <row r="33" spans="1:9" x14ac:dyDescent="0.3">
      <c r="A33" s="1" t="s">
        <v>3</v>
      </c>
      <c r="B33" s="1" t="s">
        <v>118</v>
      </c>
      <c r="D33" t="s">
        <v>98</v>
      </c>
      <c r="E33" t="str">
        <f>IF(DExPARA[[#This Row],[Unidade Marítima]]="","Sim","Não")</f>
        <v>Sim</v>
      </c>
      <c r="F33" t="s">
        <v>117</v>
      </c>
      <c r="G33" t="s">
        <v>101</v>
      </c>
      <c r="H3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MARC-M-477 - SUBPOOL EXP</v>
      </c>
      <c r="I33" t="str">
        <f>DExPARA[[#This Row],[Bacia Ajustado]]&amp;DExPARA[[#This Row],[Bloco Ajustado]]&amp;DExPARA[[#This Row],[Integral?]]</f>
        <v>CAMPOS MARC-M-477 - SUBPOOL EXPSim</v>
      </c>
    </row>
    <row r="34" spans="1:9" x14ac:dyDescent="0.3">
      <c r="A34" s="1" t="s">
        <v>10</v>
      </c>
      <c r="B34" s="1" t="s">
        <v>116</v>
      </c>
      <c r="D34" t="s">
        <v>98</v>
      </c>
      <c r="E34" t="str">
        <f>IF(DExPARA[[#This Row],[Unidade Marítima]]="","Sim","Não")</f>
        <v>Sim</v>
      </c>
      <c r="F34" t="s">
        <v>115</v>
      </c>
      <c r="G34" t="s">
        <v>101</v>
      </c>
      <c r="H3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SANTOS1-SPS-108</v>
      </c>
      <c r="I34" t="str">
        <f>DExPARA[[#This Row],[Bacia Ajustado]]&amp;DExPARA[[#This Row],[Bloco Ajustado]]&amp;DExPARA[[#This Row],[Integral?]]</f>
        <v>SANTOS1-SPS-108Sim</v>
      </c>
    </row>
    <row r="35" spans="1:9" x14ac:dyDescent="0.3">
      <c r="A35" s="1" t="s">
        <v>10</v>
      </c>
      <c r="B35" s="1" t="s">
        <v>114</v>
      </c>
      <c r="D35" t="s">
        <v>98</v>
      </c>
      <c r="E35" t="str">
        <f>IF(DExPARA[[#This Row],[Unidade Marítima]]="","Sim","Não")</f>
        <v>Sim</v>
      </c>
      <c r="F35" t="s">
        <v>113</v>
      </c>
      <c r="G35" t="s">
        <v>101</v>
      </c>
      <c r="H3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SANTOSSURURU - SUBPOOL BM-S-9/11/11A/ATP/SEP</v>
      </c>
      <c r="I35" t="str">
        <f>DExPARA[[#This Row],[Bacia Ajustado]]&amp;DExPARA[[#This Row],[Bloco Ajustado]]&amp;DExPARA[[#This Row],[Integral?]]</f>
        <v>SANTOSSURURU - SUBPOOL BM-S-9/11/11A/ATP/SEPSim</v>
      </c>
    </row>
    <row r="36" spans="1:9" x14ac:dyDescent="0.3">
      <c r="A36" s="1" t="s">
        <v>3</v>
      </c>
      <c r="B36" s="1" t="s">
        <v>112</v>
      </c>
      <c r="D36" t="s">
        <v>98</v>
      </c>
      <c r="E36" t="str">
        <f>IF(DExPARA[[#This Row],[Unidade Marítima]]="","Sim","Não")</f>
        <v>Sim</v>
      </c>
      <c r="F36" t="s">
        <v>111</v>
      </c>
      <c r="G36" t="s">
        <v>101</v>
      </c>
      <c r="H3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MARÁGUA-MARINHA</v>
      </c>
      <c r="I36" t="str">
        <f>DExPARA[[#This Row],[Bacia Ajustado]]&amp;DExPARA[[#This Row],[Bloco Ajustado]]&amp;DExPARA[[#This Row],[Integral?]]</f>
        <v>CAMPOS MARÁGUA-MARINHASim</v>
      </c>
    </row>
    <row r="37" spans="1:9" x14ac:dyDescent="0.3">
      <c r="A37" s="1" t="s">
        <v>3</v>
      </c>
      <c r="B37" s="1" t="s">
        <v>110</v>
      </c>
      <c r="D37" t="s">
        <v>98</v>
      </c>
      <c r="E37" t="str">
        <f>IF(DExPARA[[#This Row],[Unidade Marítima]]="","Sim","Não")</f>
        <v>Sim</v>
      </c>
      <c r="F37" t="s">
        <v>109</v>
      </c>
      <c r="G37" t="s">
        <v>101</v>
      </c>
      <c r="H3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MARALTO DE CABO FRIO CENTRAL</v>
      </c>
      <c r="I37" t="str">
        <f>DExPARA[[#This Row],[Bacia Ajustado]]&amp;DExPARA[[#This Row],[Bloco Ajustado]]&amp;DExPARA[[#This Row],[Integral?]]</f>
        <v>CAMPOS MARALTO DE CABO FRIO CENTRALSim</v>
      </c>
    </row>
    <row r="38" spans="1:9" x14ac:dyDescent="0.3">
      <c r="A38" s="1" t="s">
        <v>3</v>
      </c>
      <c r="B38" s="1" t="s">
        <v>108</v>
      </c>
      <c r="D38" t="s">
        <v>98</v>
      </c>
      <c r="E38" t="str">
        <f>IF(DExPARA[[#This Row],[Unidade Marítima]]="","Sim","Não")</f>
        <v>Sim</v>
      </c>
      <c r="F38" t="s">
        <v>107</v>
      </c>
      <c r="G38" t="s">
        <v>101</v>
      </c>
      <c r="H3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MARSUDOESTE DE TARTARUGA VERDE</v>
      </c>
      <c r="I38" t="str">
        <f>DExPARA[[#This Row],[Bacia Ajustado]]&amp;DExPARA[[#This Row],[Bloco Ajustado]]&amp;DExPARA[[#This Row],[Integral?]]</f>
        <v>CAMPOS MARSUDOESTE DE TARTARUGA VERDESim</v>
      </c>
    </row>
    <row r="39" spans="1:9" x14ac:dyDescent="0.3">
      <c r="A39" t="s">
        <v>3</v>
      </c>
      <c r="B39" t="s">
        <v>105</v>
      </c>
      <c r="C39" t="s">
        <v>106</v>
      </c>
      <c r="D39" t="s">
        <v>98</v>
      </c>
      <c r="E39" t="str">
        <f>IF(DExPARA[[#This Row],[Unidade Marítima]]="","Sim","Não")</f>
        <v>Não</v>
      </c>
      <c r="F39" t="s">
        <v>103</v>
      </c>
      <c r="G39" t="s">
        <v>101</v>
      </c>
      <c r="H3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MARALBACORAUMVT</v>
      </c>
      <c r="I39" t="str">
        <f>DExPARA[[#This Row],[Bacia Ajustado]]&amp;DExPARA[[#This Row],[Bloco Ajustado]]&amp;DExPARA[[#This Row],[Integral?]]</f>
        <v>CAMPOS MARALBACORANão</v>
      </c>
    </row>
    <row r="40" spans="1:9" x14ac:dyDescent="0.3">
      <c r="A40" t="s">
        <v>3</v>
      </c>
      <c r="B40" t="s">
        <v>105</v>
      </c>
      <c r="C40" t="s">
        <v>104</v>
      </c>
      <c r="D40" t="s">
        <v>98</v>
      </c>
      <c r="E40" t="str">
        <f>IF(DExPARA[[#This Row],[Unidade Marítima]]="","Sim","Não")</f>
        <v>Não</v>
      </c>
      <c r="F40" t="s">
        <v>103</v>
      </c>
      <c r="G40" t="s">
        <v>101</v>
      </c>
      <c r="H4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MARALBACORASS73</v>
      </c>
      <c r="I40" t="str">
        <f>DExPARA[[#This Row],[Bacia Ajustado]]&amp;DExPARA[[#This Row],[Bloco Ajustado]]&amp;DExPARA[[#This Row],[Integral?]]</f>
        <v>CAMPOS MARALBACORANão</v>
      </c>
    </row>
    <row r="41" spans="1:9" x14ac:dyDescent="0.3">
      <c r="A41" t="s">
        <v>3</v>
      </c>
      <c r="B41" t="s">
        <v>2</v>
      </c>
      <c r="D41" t="s">
        <v>98</v>
      </c>
      <c r="E41" t="str">
        <f>IF(DExPARA[[#This Row],[Unidade Marítima]]="","Sim","Não")</f>
        <v>Sim</v>
      </c>
      <c r="F41" t="s">
        <v>102</v>
      </c>
      <c r="G41" t="s">
        <v>101</v>
      </c>
      <c r="H4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MARJUBARTE</v>
      </c>
      <c r="I41" t="str">
        <f>DExPARA[[#This Row],[Bacia Ajustado]]&amp;DExPARA[[#This Row],[Bloco Ajustado]]&amp;DExPARA[[#This Row],[Integral?]]</f>
        <v>CAMPOS MARJUBARTESim</v>
      </c>
    </row>
    <row r="42" spans="1:9" x14ac:dyDescent="0.3">
      <c r="A42" t="s">
        <v>3</v>
      </c>
      <c r="B42" t="s">
        <v>100</v>
      </c>
      <c r="D42" t="s">
        <v>98</v>
      </c>
      <c r="E42" t="str">
        <f>IF(DExPARA[[#This Row],[Unidade Marítima]]="","Sim","Não")</f>
        <v>Sim</v>
      </c>
      <c r="F42" t="s">
        <v>97</v>
      </c>
      <c r="G42" t="s">
        <v>96</v>
      </c>
      <c r="H4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MARESPADARTE</v>
      </c>
      <c r="I42" t="str">
        <f>DExPARA[[#This Row],[Bacia Ajustado]]&amp;DExPARA[[#This Row],[Bloco Ajustado]]&amp;DExPARA[[#This Row],[Integral?]]</f>
        <v>CAMPOS MARESPADARTESim</v>
      </c>
    </row>
    <row r="43" spans="1:9" x14ac:dyDescent="0.3">
      <c r="A43" t="s">
        <v>3</v>
      </c>
      <c r="B43" t="s">
        <v>99</v>
      </c>
      <c r="D43" t="s">
        <v>98</v>
      </c>
      <c r="E43" t="str">
        <f>IF(DExPARA[[#This Row],[Unidade Marítima]]="","Sim","Não")</f>
        <v>Sim</v>
      </c>
      <c r="F43" t="s">
        <v>97</v>
      </c>
      <c r="G43" t="s">
        <v>96</v>
      </c>
      <c r="H4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MARTARTARUGA VERDE</v>
      </c>
      <c r="I43" t="str">
        <f>DExPARA[[#This Row],[Bacia Ajustado]]&amp;DExPARA[[#This Row],[Bloco Ajustado]]&amp;DExPARA[[#This Row],[Integral?]]</f>
        <v>CAMPOS MARTARTARUGA VERDESim</v>
      </c>
    </row>
    <row r="44" spans="1:9" x14ac:dyDescent="0.3">
      <c r="A44" t="s">
        <v>95</v>
      </c>
      <c r="B44" t="s">
        <v>94</v>
      </c>
      <c r="D44" t="s">
        <v>0</v>
      </c>
      <c r="E44" t="str">
        <f>IF(DExPARA[[#This Row],[Unidade Marítima]]="","Sim","Não")</f>
        <v>Sim</v>
      </c>
      <c r="F44" t="s">
        <v>0</v>
      </c>
      <c r="G44" t="s">
        <v>0</v>
      </c>
      <c r="H4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CARIBBEAN SEATAYRONA</v>
      </c>
      <c r="I44" t="str">
        <f>DExPARA[[#This Row],[Bacia Ajustado]]&amp;DExPARA[[#This Row],[Bloco Ajustado]]&amp;DExPARA[[#This Row],[Integral?]]</f>
        <v>CARIBBEAN SEATAYRONASim</v>
      </c>
    </row>
    <row r="45" spans="1:9" x14ac:dyDescent="0.3">
      <c r="A45" t="s">
        <v>8</v>
      </c>
      <c r="B45" t="s">
        <v>93</v>
      </c>
      <c r="D45" t="s">
        <v>0</v>
      </c>
      <c r="E45" t="str">
        <f>IF(DExPARA[[#This Row],[Unidade Marítima]]="","Sim","Não")</f>
        <v>Sim</v>
      </c>
      <c r="F45" t="s">
        <v>0</v>
      </c>
      <c r="G45" t="s">
        <v>0</v>
      </c>
      <c r="H4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MARPIRANEMA</v>
      </c>
      <c r="I45" t="str">
        <f>DExPARA[[#This Row],[Bacia Ajustado]]&amp;DExPARA[[#This Row],[Bloco Ajustado]]&amp;DExPARA[[#This Row],[Integral?]]</f>
        <v>SERGIPE MARPIRANEMASim</v>
      </c>
    </row>
    <row r="46" spans="1:9" x14ac:dyDescent="0.3">
      <c r="A46" t="s">
        <v>25</v>
      </c>
      <c r="B46" t="s">
        <v>92</v>
      </c>
      <c r="D46" t="s">
        <v>0</v>
      </c>
      <c r="E46" t="str">
        <f>IF(DExPARA[[#This Row],[Unidade Marítima]]="","Sim","Não")</f>
        <v>Sim</v>
      </c>
      <c r="F46" t="s">
        <v>92</v>
      </c>
      <c r="G46" t="s">
        <v>0</v>
      </c>
      <c r="H4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MARES-M-596</v>
      </c>
      <c r="I46" t="str">
        <f>DExPARA[[#This Row],[Bacia Ajustado]]&amp;DExPARA[[#This Row],[Bloco Ajustado]]&amp;DExPARA[[#This Row],[Integral?]]</f>
        <v>ESPÍRITO SANTO MARES-M-596Sim</v>
      </c>
    </row>
    <row r="47" spans="1:9" x14ac:dyDescent="0.3">
      <c r="A47" t="s">
        <v>25</v>
      </c>
      <c r="B47" t="s">
        <v>91</v>
      </c>
      <c r="D47" t="s">
        <v>0</v>
      </c>
      <c r="E47" t="str">
        <f>IF(DExPARA[[#This Row],[Unidade Marítima]]="","Sim","Não")</f>
        <v>Sim</v>
      </c>
      <c r="F47" t="s">
        <v>0</v>
      </c>
      <c r="G47" t="s">
        <v>0</v>
      </c>
      <c r="H4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MARES-M-673</v>
      </c>
      <c r="I47" t="str">
        <f>DExPARA[[#This Row],[Bacia Ajustado]]&amp;DExPARA[[#This Row],[Bloco Ajustado]]&amp;DExPARA[[#This Row],[Integral?]]</f>
        <v>ESPÍRITO SANTO MARES-M-673Sim</v>
      </c>
    </row>
    <row r="48" spans="1:9" x14ac:dyDescent="0.3">
      <c r="A48" t="s">
        <v>3</v>
      </c>
      <c r="B48" t="s">
        <v>67</v>
      </c>
      <c r="D48" t="s">
        <v>0</v>
      </c>
      <c r="E48" t="str">
        <f>IF(DExPARA[[#This Row],[Unidade Marítima]]="","Sim","Não")</f>
        <v>Sim</v>
      </c>
      <c r="F48" t="s">
        <v>0</v>
      </c>
      <c r="G48" t="s">
        <v>0</v>
      </c>
      <c r="H4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MARCARATINGA</v>
      </c>
      <c r="I48" t="str">
        <f>DExPARA[[#This Row],[Bacia Ajustado]]&amp;DExPARA[[#This Row],[Bloco Ajustado]]&amp;DExPARA[[#This Row],[Integral?]]</f>
        <v>CAMPOS MARCARATINGASim</v>
      </c>
    </row>
    <row r="49" spans="1:9" x14ac:dyDescent="0.3">
      <c r="A49" t="s">
        <v>3</v>
      </c>
      <c r="B49" t="s">
        <v>84</v>
      </c>
      <c r="D49" t="s">
        <v>0</v>
      </c>
      <c r="E49" t="str">
        <f>IF(DExPARA[[#This Row],[Unidade Marítima]]="","Sim","Não")</f>
        <v>Sim</v>
      </c>
      <c r="F49" t="s">
        <v>0</v>
      </c>
      <c r="G49" t="s">
        <v>0</v>
      </c>
      <c r="H4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MARMARLIM LESTE</v>
      </c>
      <c r="I49" t="str">
        <f>DExPARA[[#This Row],[Bacia Ajustado]]&amp;DExPARA[[#This Row],[Bloco Ajustado]]&amp;DExPARA[[#This Row],[Integral?]]</f>
        <v>CAMPOS MARMARLIM LESTESim</v>
      </c>
    </row>
    <row r="50" spans="1:9" x14ac:dyDescent="0.3">
      <c r="A50" t="s">
        <v>17</v>
      </c>
      <c r="B50" t="s">
        <v>89</v>
      </c>
      <c r="D50" t="s">
        <v>0</v>
      </c>
      <c r="E50" t="str">
        <f>IF(DExPARA[[#This Row],[Unidade Marítima]]="","Sim","Não")</f>
        <v>Sim</v>
      </c>
      <c r="F50" t="s">
        <v>0</v>
      </c>
      <c r="G50" t="s">
        <v>0</v>
      </c>
      <c r="H5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MAR1-RNS-158 - SUBPOOL MEQ</v>
      </c>
      <c r="I50" t="str">
        <f>DExPARA[[#This Row],[Bacia Ajustado]]&amp;DExPARA[[#This Row],[Bloco Ajustado]]&amp;DExPARA[[#This Row],[Integral?]]</f>
        <v>POTIGUAR MAR1-RNS-158 - SUBPOOL MEQSim</v>
      </c>
    </row>
    <row r="51" spans="1:9" x14ac:dyDescent="0.3">
      <c r="A51" t="s">
        <v>17</v>
      </c>
      <c r="B51" t="s">
        <v>90</v>
      </c>
      <c r="D51" t="s">
        <v>0</v>
      </c>
      <c r="E51" t="str">
        <f>IF(DExPARA[[#This Row],[Unidade Marítima]]="","Sim","Não")</f>
        <v>Sim</v>
      </c>
      <c r="F51" t="s">
        <v>0</v>
      </c>
      <c r="G51" t="s">
        <v>0</v>
      </c>
      <c r="H5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MARPOT-M-762 - SUBPOOL MEQ</v>
      </c>
      <c r="I51" t="str">
        <f>DExPARA[[#This Row],[Bacia Ajustado]]&amp;DExPARA[[#This Row],[Bloco Ajustado]]&amp;DExPARA[[#This Row],[Integral?]]</f>
        <v>POTIGUAR MARPOT-M-762 - SUBPOOL MEQSim</v>
      </c>
    </row>
    <row r="52" spans="1:9" x14ac:dyDescent="0.3">
      <c r="A52" t="s">
        <v>88</v>
      </c>
      <c r="B52" t="s">
        <v>87</v>
      </c>
      <c r="D52" t="s">
        <v>0</v>
      </c>
      <c r="E52" t="str">
        <f>IF(DExPARA[[#This Row],[Unidade Marítima]]="","Sim","Não")</f>
        <v>Sim</v>
      </c>
      <c r="F52" t="s">
        <v>0</v>
      </c>
      <c r="G52" t="s">
        <v>0</v>
      </c>
      <c r="H5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FOZ DO AMAZONASFZA-M-59 - SUBPOOL MEQ</v>
      </c>
      <c r="I52" t="str">
        <f>DExPARA[[#This Row],[Bacia Ajustado]]&amp;DExPARA[[#This Row],[Bloco Ajustado]]&amp;DExPARA[[#This Row],[Integral?]]</f>
        <v>FOZ DO AMAZONASFZA-M-59 - SUBPOOL MEQSim</v>
      </c>
    </row>
    <row r="53" spans="1:9" x14ac:dyDescent="0.3">
      <c r="A53" t="s">
        <v>3</v>
      </c>
      <c r="B53" t="s">
        <v>69</v>
      </c>
      <c r="D53" t="s">
        <v>0</v>
      </c>
      <c r="E53" t="str">
        <f>IF(DExPARA[[#This Row],[Unidade Marítima]]="","Sim","Não")</f>
        <v>Sim</v>
      </c>
      <c r="F53" t="s">
        <v>0</v>
      </c>
      <c r="G53" t="s">
        <v>0</v>
      </c>
      <c r="H5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MARMARLIM SUL</v>
      </c>
      <c r="I53" t="str">
        <f>DExPARA[[#This Row],[Bacia Ajustado]]&amp;DExPARA[[#This Row],[Bloco Ajustado]]&amp;DExPARA[[#This Row],[Integral?]]</f>
        <v>CAMPOS MARMARLIM SULSim</v>
      </c>
    </row>
    <row r="54" spans="1:9" x14ac:dyDescent="0.3">
      <c r="A54" t="s">
        <v>3</v>
      </c>
      <c r="B54" t="s">
        <v>65</v>
      </c>
      <c r="D54" t="s">
        <v>0</v>
      </c>
      <c r="E54" t="str">
        <f>IF(DExPARA[[#This Row],[Unidade Marítima]]="","Sim","Não")</f>
        <v>Sim</v>
      </c>
      <c r="F54" t="s">
        <v>0</v>
      </c>
      <c r="G54" t="s">
        <v>0</v>
      </c>
      <c r="H5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MARBARRACUDA</v>
      </c>
      <c r="I54" t="str">
        <f>DExPARA[[#This Row],[Bacia Ajustado]]&amp;DExPARA[[#This Row],[Bloco Ajustado]]&amp;DExPARA[[#This Row],[Integral?]]</f>
        <v>CAMPOS MARBARRACUDASim</v>
      </c>
    </row>
    <row r="55" spans="1:9" x14ac:dyDescent="0.3">
      <c r="A55" t="s">
        <v>10</v>
      </c>
      <c r="B55" t="s">
        <v>85</v>
      </c>
      <c r="D55" t="s">
        <v>0</v>
      </c>
      <c r="E55" t="str">
        <f>IF(DExPARA[[#This Row],[Unidade Marítima]]="","Sim","Não")</f>
        <v>Sim</v>
      </c>
      <c r="F55" t="s">
        <v>0</v>
      </c>
      <c r="G55" t="s">
        <v>0</v>
      </c>
      <c r="H5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SANTOSTUPI</v>
      </c>
      <c r="I55" t="str">
        <f>DExPARA[[#This Row],[Bacia Ajustado]]&amp;DExPARA[[#This Row],[Bloco Ajustado]]&amp;DExPARA[[#This Row],[Integral?]]</f>
        <v>SANTOSTUPISim</v>
      </c>
    </row>
    <row r="56" spans="1:9" x14ac:dyDescent="0.3">
      <c r="A56" t="s">
        <v>3</v>
      </c>
      <c r="B56" t="s">
        <v>86</v>
      </c>
      <c r="D56" t="s">
        <v>0</v>
      </c>
      <c r="E56" t="str">
        <f>IF(DExPARA[[#This Row],[Unidade Marítima]]="","Sim","Não")</f>
        <v>Sim</v>
      </c>
      <c r="F56" t="s">
        <v>0</v>
      </c>
      <c r="G56" t="s">
        <v>0</v>
      </c>
      <c r="H5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MARCAXAREU</v>
      </c>
      <c r="I56" t="str">
        <f>DExPARA[[#This Row],[Bacia Ajustado]]&amp;DExPARA[[#This Row],[Bloco Ajustado]]&amp;DExPARA[[#This Row],[Integral?]]</f>
        <v>CAMPOS MARCAXAREUSim</v>
      </c>
    </row>
    <row r="57" spans="1:9" x14ac:dyDescent="0.3">
      <c r="A57" t="s">
        <v>17</v>
      </c>
      <c r="B57" t="s">
        <v>80</v>
      </c>
      <c r="D57" t="s">
        <v>0</v>
      </c>
      <c r="E57" t="str">
        <f>IF(DExPARA[[#This Row],[Unidade Marítima]]="","Sim","Não")</f>
        <v>Sim</v>
      </c>
      <c r="F57" t="s">
        <v>0</v>
      </c>
      <c r="G57" t="s">
        <v>0</v>
      </c>
      <c r="H5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MARAGULHA</v>
      </c>
      <c r="I57" t="str">
        <f>DExPARA[[#This Row],[Bacia Ajustado]]&amp;DExPARA[[#This Row],[Bloco Ajustado]]&amp;DExPARA[[#This Row],[Integral?]]</f>
        <v>POTIGUAR MARAGULHASim</v>
      </c>
    </row>
    <row r="58" spans="1:9" x14ac:dyDescent="0.3">
      <c r="A58" t="s">
        <v>3</v>
      </c>
      <c r="B58" t="s">
        <v>83</v>
      </c>
      <c r="D58" t="s">
        <v>0</v>
      </c>
      <c r="E58" t="str">
        <f>IF(DExPARA[[#This Row],[Unidade Marítima]]="","Sim","Não")</f>
        <v>Sim</v>
      </c>
      <c r="F58" t="s">
        <v>0</v>
      </c>
      <c r="G58" t="s">
        <v>0</v>
      </c>
      <c r="H5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MARNAMORADO</v>
      </c>
      <c r="I58" t="str">
        <f>DExPARA[[#This Row],[Bacia Ajustado]]&amp;DExPARA[[#This Row],[Bloco Ajustado]]&amp;DExPARA[[#This Row],[Integral?]]</f>
        <v>CAMPOS MARNAMORADOSim</v>
      </c>
    </row>
    <row r="59" spans="1:9" x14ac:dyDescent="0.3">
      <c r="A59" t="s">
        <v>3</v>
      </c>
      <c r="B59" t="s">
        <v>82</v>
      </c>
      <c r="D59" t="s">
        <v>0</v>
      </c>
      <c r="E59" t="str">
        <f>IF(DExPARA[[#This Row],[Unidade Marítima]]="","Sim","Não")</f>
        <v>Sim</v>
      </c>
      <c r="F59" t="s">
        <v>0</v>
      </c>
      <c r="G59" t="s">
        <v>0</v>
      </c>
      <c r="H5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MARNORDESTE DE NAMORADO</v>
      </c>
      <c r="I59" t="str">
        <f>DExPARA[[#This Row],[Bacia Ajustado]]&amp;DExPARA[[#This Row],[Bloco Ajustado]]&amp;DExPARA[[#This Row],[Integral?]]</f>
        <v>CAMPOS MARNORDESTE DE NAMORADOSim</v>
      </c>
    </row>
    <row r="60" spans="1:9" x14ac:dyDescent="0.3">
      <c r="A60" t="s">
        <v>8</v>
      </c>
      <c r="B60" t="s">
        <v>81</v>
      </c>
      <c r="D60" t="s">
        <v>0</v>
      </c>
      <c r="E60" t="str">
        <f>IF(DExPARA[[#This Row],[Unidade Marítima]]="","Sim","Não")</f>
        <v>Sim</v>
      </c>
      <c r="F60" t="s">
        <v>0</v>
      </c>
      <c r="G60" t="s">
        <v>0</v>
      </c>
      <c r="H6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MARCAMORIM</v>
      </c>
      <c r="I60" t="str">
        <f>DExPARA[[#This Row],[Bacia Ajustado]]&amp;DExPARA[[#This Row],[Bloco Ajustado]]&amp;DExPARA[[#This Row],[Integral?]]</f>
        <v>SERGIPE MARCAMORIMSim</v>
      </c>
    </row>
    <row r="61" spans="1:9" x14ac:dyDescent="0.3">
      <c r="A61" t="s">
        <v>3</v>
      </c>
      <c r="B61" t="s">
        <v>79</v>
      </c>
      <c r="D61" t="s">
        <v>0</v>
      </c>
      <c r="E61" t="str">
        <f>IF(DExPARA[[#This Row],[Unidade Marítima]]="","Sim","Não")</f>
        <v>Sim</v>
      </c>
      <c r="F61" t="s">
        <v>0</v>
      </c>
      <c r="G61" t="s">
        <v>0</v>
      </c>
      <c r="H6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MARCHERNE</v>
      </c>
      <c r="I61" t="str">
        <f>DExPARA[[#This Row],[Bacia Ajustado]]&amp;DExPARA[[#This Row],[Bloco Ajustado]]&amp;DExPARA[[#This Row],[Integral?]]</f>
        <v>CAMPOS MARCHERNESim</v>
      </c>
    </row>
    <row r="62" spans="1:9" x14ac:dyDescent="0.3">
      <c r="A62" t="s">
        <v>3</v>
      </c>
      <c r="B62" t="s">
        <v>78</v>
      </c>
      <c r="D62" t="s">
        <v>0</v>
      </c>
      <c r="E62" t="str">
        <f>IF(DExPARA[[#This Row],[Unidade Marítima]]="","Sim","Não")</f>
        <v>Sim</v>
      </c>
      <c r="F62" t="s">
        <v>0</v>
      </c>
      <c r="G62" t="s">
        <v>0</v>
      </c>
      <c r="H6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MARBAGRE</v>
      </c>
      <c r="I62" t="str">
        <f>DExPARA[[#This Row],[Bacia Ajustado]]&amp;DExPARA[[#This Row],[Bloco Ajustado]]&amp;DExPARA[[#This Row],[Integral?]]</f>
        <v>CAMPOS MARBAGRESim</v>
      </c>
    </row>
    <row r="63" spans="1:9" x14ac:dyDescent="0.3">
      <c r="A63" t="s">
        <v>3</v>
      </c>
      <c r="B63" t="s">
        <v>77</v>
      </c>
      <c r="D63" t="s">
        <v>0</v>
      </c>
      <c r="E63" t="str">
        <f>IF(DExPARA[[#This Row],[Unidade Marítima]]="","Sim","Não")</f>
        <v>Sim</v>
      </c>
      <c r="F63" t="s">
        <v>0</v>
      </c>
      <c r="G63" t="s">
        <v>0</v>
      </c>
      <c r="H6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MARGAROUPA</v>
      </c>
      <c r="I63" t="str">
        <f>DExPARA[[#This Row],[Bacia Ajustado]]&amp;DExPARA[[#This Row],[Bloco Ajustado]]&amp;DExPARA[[#This Row],[Integral?]]</f>
        <v>CAMPOS MARGAROUPASim</v>
      </c>
    </row>
    <row r="64" spans="1:9" x14ac:dyDescent="0.3">
      <c r="A64" t="s">
        <v>3</v>
      </c>
      <c r="B64" t="s">
        <v>76</v>
      </c>
      <c r="D64" t="s">
        <v>0</v>
      </c>
      <c r="E64" t="str">
        <f>IF(DExPARA[[#This Row],[Unidade Marítima]]="","Sim","Não")</f>
        <v>Sim</v>
      </c>
      <c r="F64" t="s">
        <v>0</v>
      </c>
      <c r="G64" t="s">
        <v>0</v>
      </c>
      <c r="H6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MARCONGRO</v>
      </c>
      <c r="I64" t="str">
        <f>DExPARA[[#This Row],[Bacia Ajustado]]&amp;DExPARA[[#This Row],[Bloco Ajustado]]&amp;DExPARA[[#This Row],[Integral?]]</f>
        <v>CAMPOS MARCONGROSim</v>
      </c>
    </row>
    <row r="65" spans="1:9" x14ac:dyDescent="0.3">
      <c r="A65" t="s">
        <v>3</v>
      </c>
      <c r="B65" t="s">
        <v>75</v>
      </c>
      <c r="D65" t="s">
        <v>0</v>
      </c>
      <c r="E65" t="str">
        <f>IF(DExPARA[[#This Row],[Unidade Marítima]]="","Sim","Não")</f>
        <v>Sim</v>
      </c>
      <c r="F65" t="s">
        <v>0</v>
      </c>
      <c r="G65" t="s">
        <v>0</v>
      </c>
      <c r="H6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MARMALHADO</v>
      </c>
      <c r="I65" t="str">
        <f>DExPARA[[#This Row],[Bacia Ajustado]]&amp;DExPARA[[#This Row],[Bloco Ajustado]]&amp;DExPARA[[#This Row],[Integral?]]</f>
        <v>CAMPOS MARMALHADOSim</v>
      </c>
    </row>
    <row r="66" spans="1:9" x14ac:dyDescent="0.3">
      <c r="A66" t="s">
        <v>3</v>
      </c>
      <c r="B66" t="s">
        <v>74</v>
      </c>
      <c r="D66" t="s">
        <v>0</v>
      </c>
      <c r="E66" t="str">
        <f>IF(DExPARA[[#This Row],[Unidade Marítima]]="","Sim","Não")</f>
        <v>Sim</v>
      </c>
      <c r="F66" t="s">
        <v>0</v>
      </c>
      <c r="G66" t="s">
        <v>0</v>
      </c>
      <c r="H6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MARPARATI</v>
      </c>
      <c r="I66" t="str">
        <f>DExPARA[[#This Row],[Bacia Ajustado]]&amp;DExPARA[[#This Row],[Bloco Ajustado]]&amp;DExPARA[[#This Row],[Integral?]]</f>
        <v>CAMPOS MARPARATISim</v>
      </c>
    </row>
    <row r="67" spans="1:9" x14ac:dyDescent="0.3">
      <c r="A67" t="s">
        <v>10</v>
      </c>
      <c r="B67" t="s">
        <v>73</v>
      </c>
      <c r="D67" t="s">
        <v>0</v>
      </c>
      <c r="E67" t="str">
        <f>IF(DExPARA[[#This Row],[Unidade Marítima]]="","Sim","Não")</f>
        <v>Sim</v>
      </c>
      <c r="F67" t="s">
        <v>0</v>
      </c>
      <c r="G67" t="s">
        <v>0</v>
      </c>
      <c r="H6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SANTOS1-RJS-652A</v>
      </c>
      <c r="I67" t="str">
        <f>DExPARA[[#This Row],[Bacia Ajustado]]&amp;DExPARA[[#This Row],[Bloco Ajustado]]&amp;DExPARA[[#This Row],[Integral?]]</f>
        <v>SANTOS1-RJS-652ASim</v>
      </c>
    </row>
    <row r="68" spans="1:9" x14ac:dyDescent="0.3">
      <c r="A68" t="s">
        <v>3</v>
      </c>
      <c r="B68" t="s">
        <v>72</v>
      </c>
      <c r="D68" t="s">
        <v>0</v>
      </c>
      <c r="E68" t="str">
        <f>IF(DExPARA[[#This Row],[Unidade Marítima]]="","Sim","Não")</f>
        <v>Sim</v>
      </c>
      <c r="F68" t="s">
        <v>0</v>
      </c>
      <c r="G68" t="s">
        <v>0</v>
      </c>
      <c r="H6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MARVOADOR</v>
      </c>
      <c r="I68" t="str">
        <f>DExPARA[[#This Row],[Bacia Ajustado]]&amp;DExPARA[[#This Row],[Bloco Ajustado]]&amp;DExPARA[[#This Row],[Integral?]]</f>
        <v>CAMPOS MARVOADORSim</v>
      </c>
    </row>
    <row r="69" spans="1:9" x14ac:dyDescent="0.3">
      <c r="A69" t="s">
        <v>25</v>
      </c>
      <c r="B69" t="s">
        <v>71</v>
      </c>
      <c r="D69" t="s">
        <v>0</v>
      </c>
      <c r="E69" t="str">
        <f>IF(DExPARA[[#This Row],[Unidade Marítima]]="","Sim","Não")</f>
        <v>Sim</v>
      </c>
      <c r="F69" t="s">
        <v>0</v>
      </c>
      <c r="G69" t="s">
        <v>0</v>
      </c>
      <c r="H6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MARCAMARUPIM NORTE</v>
      </c>
      <c r="I69" t="str">
        <f>DExPARA[[#This Row],[Bacia Ajustado]]&amp;DExPARA[[#This Row],[Bloco Ajustado]]&amp;DExPARA[[#This Row],[Integral?]]</f>
        <v>ESPÍRITO SANTO MARCAMARUPIM NORTESim</v>
      </c>
    </row>
    <row r="70" spans="1:9" x14ac:dyDescent="0.3">
      <c r="A70" t="s">
        <v>10</v>
      </c>
      <c r="B70" t="s">
        <v>70</v>
      </c>
      <c r="D70" t="s">
        <v>0</v>
      </c>
      <c r="E70" t="str">
        <f>IF(DExPARA[[#This Row],[Unidade Marítima]]="","Sim","Não")</f>
        <v>Sim</v>
      </c>
      <c r="F70" t="s">
        <v>0</v>
      </c>
      <c r="G70" t="s">
        <v>0</v>
      </c>
      <c r="H7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SANTOSMEXILHÃO</v>
      </c>
      <c r="I70" t="str">
        <f>DExPARA[[#This Row],[Bacia Ajustado]]&amp;DExPARA[[#This Row],[Bloco Ajustado]]&amp;DExPARA[[#This Row],[Integral?]]</f>
        <v>SANTOSMEXILHÃOSim</v>
      </c>
    </row>
    <row r="71" spans="1:9" x14ac:dyDescent="0.3">
      <c r="A71" t="s">
        <v>21</v>
      </c>
      <c r="B71" t="s">
        <v>21</v>
      </c>
      <c r="D71" t="s">
        <v>0</v>
      </c>
      <c r="E71" t="str">
        <f>IF(DExPARA[[#This Row],[Unidade Marítima]]="","Sim","Não")</f>
        <v>Sim</v>
      </c>
      <c r="F71" t="s">
        <v>0</v>
      </c>
      <c r="G71" t="s">
        <v>0</v>
      </c>
      <c r="H7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N/DN/D</v>
      </c>
      <c r="I71" t="str">
        <f>DExPARA[[#This Row],[Bacia Ajustado]]&amp;DExPARA[[#This Row],[Bloco Ajustado]]&amp;DExPARA[[#This Row],[Integral?]]</f>
        <v>N/DN/DSim</v>
      </c>
    </row>
    <row r="72" spans="1:9" x14ac:dyDescent="0.3">
      <c r="A72" t="s">
        <v>3</v>
      </c>
      <c r="B72" t="s">
        <v>68</v>
      </c>
      <c r="D72" t="s">
        <v>0</v>
      </c>
      <c r="E72" t="str">
        <f>IF(DExPARA[[#This Row],[Unidade Marítima]]="","Sim","Não")</f>
        <v>Sim</v>
      </c>
      <c r="F72" t="s">
        <v>0</v>
      </c>
      <c r="G72" t="s">
        <v>0</v>
      </c>
      <c r="H7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MARGAROUPINHA</v>
      </c>
      <c r="I72" t="str">
        <f>DExPARA[[#This Row],[Bacia Ajustado]]&amp;DExPARA[[#This Row],[Bloco Ajustado]]&amp;DExPARA[[#This Row],[Integral?]]</f>
        <v>CAMPOS MARGAROUPINHASim</v>
      </c>
    </row>
    <row r="73" spans="1:9" x14ac:dyDescent="0.3">
      <c r="A73" t="s">
        <v>3</v>
      </c>
      <c r="B73" t="s">
        <v>66</v>
      </c>
      <c r="D73" t="s">
        <v>0</v>
      </c>
      <c r="E73" t="str">
        <f>IF(DExPARA[[#This Row],[Unidade Marítima]]="","Sim","Não")</f>
        <v>Sim</v>
      </c>
      <c r="F73" t="s">
        <v>0</v>
      </c>
      <c r="G73" t="s">
        <v>0</v>
      </c>
      <c r="H7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MARCACHALOTE</v>
      </c>
      <c r="I73" t="str">
        <f>DExPARA[[#This Row],[Bacia Ajustado]]&amp;DExPARA[[#This Row],[Bloco Ajustado]]&amp;DExPARA[[#This Row],[Integral?]]</f>
        <v>CAMPOS MARCACHALOTESim</v>
      </c>
    </row>
    <row r="74" spans="1:9" x14ac:dyDescent="0.3">
      <c r="A74" t="s">
        <v>3</v>
      </c>
      <c r="B74" t="s">
        <v>64</v>
      </c>
      <c r="D74" t="s">
        <v>0</v>
      </c>
      <c r="E74" t="str">
        <f>IF(DExPARA[[#This Row],[Unidade Marítima]]="","Sim","Não")</f>
        <v>Sim</v>
      </c>
      <c r="F74" t="s">
        <v>0</v>
      </c>
      <c r="G74" t="s">
        <v>0</v>
      </c>
      <c r="H7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MARMORÉIA</v>
      </c>
      <c r="I74" t="str">
        <f>DExPARA[[#This Row],[Bacia Ajustado]]&amp;DExPARA[[#This Row],[Bloco Ajustado]]&amp;DExPARA[[#This Row],[Integral?]]</f>
        <v>CAMPOS MARMORÉIASim</v>
      </c>
    </row>
    <row r="75" spans="1:9" x14ac:dyDescent="0.3">
      <c r="A75" t="s">
        <v>3</v>
      </c>
      <c r="B75" t="s">
        <v>63</v>
      </c>
      <c r="D75" t="s">
        <v>0</v>
      </c>
      <c r="E75" t="str">
        <f>IF(DExPARA[[#This Row],[Unidade Marítima]]="","Sim","Não")</f>
        <v>Sim</v>
      </c>
      <c r="F75" t="s">
        <v>0</v>
      </c>
      <c r="G75" t="s">
        <v>0</v>
      </c>
      <c r="H7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MARCORVINA</v>
      </c>
      <c r="I75" t="str">
        <f>DExPARA[[#This Row],[Bacia Ajustado]]&amp;DExPARA[[#This Row],[Bloco Ajustado]]&amp;DExPARA[[#This Row],[Integral?]]</f>
        <v>CAMPOS MARCORVINASim</v>
      </c>
    </row>
    <row r="76" spans="1:9" x14ac:dyDescent="0.3">
      <c r="A76" t="s">
        <v>10</v>
      </c>
      <c r="B76" t="s">
        <v>62</v>
      </c>
      <c r="D76" t="s">
        <v>0</v>
      </c>
      <c r="E76" t="str">
        <f>IF(DExPARA[[#This Row],[Unidade Marítima]]="","Sim","Não")</f>
        <v>Sim</v>
      </c>
      <c r="F76" t="s">
        <v>0</v>
      </c>
      <c r="G76" t="s">
        <v>0</v>
      </c>
      <c r="H7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SANTOSURUGUÁ</v>
      </c>
      <c r="I76" t="str">
        <f>DExPARA[[#This Row],[Bacia Ajustado]]&amp;DExPARA[[#This Row],[Bloco Ajustado]]&amp;DExPARA[[#This Row],[Integral?]]</f>
        <v>SANTOSURUGUÁSim</v>
      </c>
    </row>
    <row r="77" spans="1:9" x14ac:dyDescent="0.3">
      <c r="A77" t="s">
        <v>17</v>
      </c>
      <c r="B77" t="s">
        <v>61</v>
      </c>
      <c r="D77" t="s">
        <v>0</v>
      </c>
      <c r="E77" t="str">
        <f>IF(DExPARA[[#This Row],[Unidade Marítima]]="","Sim","Não")</f>
        <v>Sim</v>
      </c>
      <c r="F77" t="s">
        <v>0</v>
      </c>
      <c r="G77" t="s">
        <v>0</v>
      </c>
      <c r="H7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MARARABAIANA</v>
      </c>
      <c r="I77" t="str">
        <f>DExPARA[[#This Row],[Bacia Ajustado]]&amp;DExPARA[[#This Row],[Bloco Ajustado]]&amp;DExPARA[[#This Row],[Integral?]]</f>
        <v>POTIGUAR MARARABAIANASim</v>
      </c>
    </row>
    <row r="78" spans="1:9" x14ac:dyDescent="0.3">
      <c r="A78" t="s">
        <v>17</v>
      </c>
      <c r="B78" t="s">
        <v>60</v>
      </c>
      <c r="D78" t="s">
        <v>0</v>
      </c>
      <c r="E78" t="str">
        <f>IF(DExPARA[[#This Row],[Unidade Marítima]]="","Sim","Não")</f>
        <v>Sim</v>
      </c>
      <c r="F78" t="s">
        <v>0</v>
      </c>
      <c r="G78" t="s">
        <v>0</v>
      </c>
      <c r="H7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MARPESCADA</v>
      </c>
      <c r="I78" t="str">
        <f>DExPARA[[#This Row],[Bacia Ajustado]]&amp;DExPARA[[#This Row],[Bloco Ajustado]]&amp;DExPARA[[#This Row],[Integral?]]</f>
        <v>POTIGUAR MARPESCADASim</v>
      </c>
    </row>
    <row r="79" spans="1:9" x14ac:dyDescent="0.3">
      <c r="A79" t="s">
        <v>25</v>
      </c>
      <c r="B79" t="s">
        <v>59</v>
      </c>
      <c r="D79" t="s">
        <v>0</v>
      </c>
      <c r="E79" t="str">
        <f>IF(DExPARA[[#This Row],[Unidade Marítima]]="","Sim","Não")</f>
        <v>Sim</v>
      </c>
      <c r="F79" t="s">
        <v>0</v>
      </c>
      <c r="G79" t="s">
        <v>0</v>
      </c>
      <c r="H7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MARGOLFINHO</v>
      </c>
      <c r="I79" t="str">
        <f>DExPARA[[#This Row],[Bacia Ajustado]]&amp;DExPARA[[#This Row],[Bloco Ajustado]]&amp;DExPARA[[#This Row],[Integral?]]</f>
        <v>ESPÍRITO SANTO MARGOLFINHOSim</v>
      </c>
    </row>
    <row r="80" spans="1:9" x14ac:dyDescent="0.3">
      <c r="A80" t="s">
        <v>3</v>
      </c>
      <c r="B80" t="s">
        <v>59</v>
      </c>
      <c r="D80" t="s">
        <v>0</v>
      </c>
      <c r="E80" t="str">
        <f>IF(DExPARA[[#This Row],[Unidade Marítima]]="","Sim","Não")</f>
        <v>Sim</v>
      </c>
      <c r="F80" t="s">
        <v>0</v>
      </c>
      <c r="G80" t="s">
        <v>0</v>
      </c>
      <c r="H8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MARGOLFINHO</v>
      </c>
      <c r="I80" t="str">
        <f>DExPARA[[#This Row],[Bacia Ajustado]]&amp;DExPARA[[#This Row],[Bloco Ajustado]]&amp;DExPARA[[#This Row],[Integral?]]</f>
        <v>CAMPOS MARGOLFINHOSim</v>
      </c>
    </row>
    <row r="81" spans="1:9" x14ac:dyDescent="0.3">
      <c r="A81" t="s">
        <v>8</v>
      </c>
      <c r="B81" t="s">
        <v>58</v>
      </c>
      <c r="D81" t="s">
        <v>0</v>
      </c>
      <c r="E81" t="str">
        <f>IF(DExPARA[[#This Row],[Unidade Marítima]]="","Sim","Não")</f>
        <v>Sim</v>
      </c>
      <c r="F81" t="s">
        <v>0</v>
      </c>
      <c r="G81" t="s">
        <v>0</v>
      </c>
      <c r="H8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MARAGULHINHA - SUBPOOL SEAP</v>
      </c>
      <c r="I81" t="str">
        <f>DExPARA[[#This Row],[Bacia Ajustado]]&amp;DExPARA[[#This Row],[Bloco Ajustado]]&amp;DExPARA[[#This Row],[Integral?]]</f>
        <v>SERGIPE MARAGULHINHA - SUBPOOL SEAPSim</v>
      </c>
    </row>
    <row r="82" spans="1:9" x14ac:dyDescent="0.3">
      <c r="A82" t="s">
        <v>3</v>
      </c>
      <c r="B82" t="s">
        <v>57</v>
      </c>
      <c r="D82" t="s">
        <v>0</v>
      </c>
      <c r="E82" t="str">
        <f>IF(DExPARA[[#This Row],[Unidade Marítima]]="","Sim","Não")</f>
        <v>Sim</v>
      </c>
      <c r="F82" t="s">
        <v>0</v>
      </c>
      <c r="G82" t="s">
        <v>0</v>
      </c>
      <c r="H8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MARBC-14</v>
      </c>
      <c r="I82" t="str">
        <f>DExPARA[[#This Row],[Bacia Ajustado]]&amp;DExPARA[[#This Row],[Bloco Ajustado]]&amp;DExPARA[[#This Row],[Integral?]]</f>
        <v>CAMPOS MARBC-14Sim</v>
      </c>
    </row>
    <row r="83" spans="1:9" x14ac:dyDescent="0.3">
      <c r="A83" t="s">
        <v>3</v>
      </c>
      <c r="B83" t="s">
        <v>56</v>
      </c>
      <c r="D83" t="s">
        <v>0</v>
      </c>
      <c r="E83" t="str">
        <f>IF(DExPARA[[#This Row],[Unidade Marítima]]="","Sim","Não")</f>
        <v>Sim</v>
      </c>
      <c r="F83" t="s">
        <v>0</v>
      </c>
      <c r="G83" t="s">
        <v>0</v>
      </c>
      <c r="H8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MARVIOLA</v>
      </c>
      <c r="I83" t="str">
        <f>DExPARA[[#This Row],[Bacia Ajustado]]&amp;DExPARA[[#This Row],[Bloco Ajustado]]&amp;DExPARA[[#This Row],[Integral?]]</f>
        <v>CAMPOS MARVIOLASim</v>
      </c>
    </row>
    <row r="84" spans="1:9" x14ac:dyDescent="0.3">
      <c r="A84" t="s">
        <v>3</v>
      </c>
      <c r="B84" t="s">
        <v>55</v>
      </c>
      <c r="D84" t="s">
        <v>0</v>
      </c>
      <c r="E84" t="str">
        <f>IF(DExPARA[[#This Row],[Unidade Marítima]]="","Sim","Não")</f>
        <v>Sim</v>
      </c>
      <c r="F84" t="s">
        <v>0</v>
      </c>
      <c r="G84" t="s">
        <v>0</v>
      </c>
      <c r="H8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MARALBACORA LESTE</v>
      </c>
      <c r="I84" t="str">
        <f>DExPARA[[#This Row],[Bacia Ajustado]]&amp;DExPARA[[#This Row],[Bloco Ajustado]]&amp;DExPARA[[#This Row],[Integral?]]</f>
        <v>CAMPOS MARALBACORA LESTESim</v>
      </c>
    </row>
    <row r="85" spans="1:9" x14ac:dyDescent="0.3">
      <c r="A85" t="s">
        <v>3</v>
      </c>
      <c r="B85" t="s">
        <v>54</v>
      </c>
      <c r="D85" t="s">
        <v>0</v>
      </c>
      <c r="E85" t="str">
        <f>IF(DExPARA[[#This Row],[Unidade Marítima]]="","Sim","Não")</f>
        <v>Sim</v>
      </c>
      <c r="F85" t="s">
        <v>0</v>
      </c>
      <c r="G85" t="s">
        <v>0</v>
      </c>
      <c r="H8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MARPAPA-TERRA</v>
      </c>
      <c r="I85" t="str">
        <f>DExPARA[[#This Row],[Bacia Ajustado]]&amp;DExPARA[[#This Row],[Bloco Ajustado]]&amp;DExPARA[[#This Row],[Integral?]]</f>
        <v>CAMPOS MARPAPA-TERRASim</v>
      </c>
    </row>
    <row r="86" spans="1:9" x14ac:dyDescent="0.3">
      <c r="A86" t="s">
        <v>8</v>
      </c>
      <c r="B86" t="s">
        <v>53</v>
      </c>
      <c r="D86" t="s">
        <v>0</v>
      </c>
      <c r="E86" t="str">
        <f>IF(DExPARA[[#This Row],[Unidade Marítima]]="","Sim","Não")</f>
        <v>Sim</v>
      </c>
      <c r="F86" t="s">
        <v>0</v>
      </c>
      <c r="G86" t="s">
        <v>0</v>
      </c>
      <c r="H8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MARBUDIÃO - SUBPOOL SEAP</v>
      </c>
      <c r="I86" t="str">
        <f>DExPARA[[#This Row],[Bacia Ajustado]]&amp;DExPARA[[#This Row],[Bloco Ajustado]]&amp;DExPARA[[#This Row],[Integral?]]</f>
        <v>SERGIPE MARBUDIÃO - SUBPOOL SEAPSim</v>
      </c>
    </row>
    <row r="87" spans="1:9" x14ac:dyDescent="0.3">
      <c r="A87" t="s">
        <v>17</v>
      </c>
      <c r="B87" t="s">
        <v>52</v>
      </c>
      <c r="D87" t="s">
        <v>0</v>
      </c>
      <c r="E87" t="str">
        <f>IF(DExPARA[[#This Row],[Unidade Marítima]]="","Sim","Não")</f>
        <v>Sim</v>
      </c>
      <c r="F87" t="s">
        <v>0</v>
      </c>
      <c r="G87" t="s">
        <v>0</v>
      </c>
      <c r="H8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MARBIQUARA</v>
      </c>
      <c r="I87" t="str">
        <f>DExPARA[[#This Row],[Bacia Ajustado]]&amp;DExPARA[[#This Row],[Bloco Ajustado]]&amp;DExPARA[[#This Row],[Integral?]]</f>
        <v>POTIGUAR MARBIQUARASim</v>
      </c>
    </row>
    <row r="88" spans="1:9" x14ac:dyDescent="0.3">
      <c r="A88" t="s">
        <v>38</v>
      </c>
      <c r="B88" t="s">
        <v>51</v>
      </c>
      <c r="D88" t="s">
        <v>0</v>
      </c>
      <c r="E88" t="str">
        <f>IF(DExPARA[[#This Row],[Unidade Marítima]]="","Sim","Não")</f>
        <v>Sim</v>
      </c>
      <c r="F88" t="s">
        <v>0</v>
      </c>
      <c r="G88" t="s">
        <v>0</v>
      </c>
      <c r="H8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CEARÁATUM</v>
      </c>
      <c r="I88" t="str">
        <f>DExPARA[[#This Row],[Bacia Ajustado]]&amp;DExPARA[[#This Row],[Bloco Ajustado]]&amp;DExPARA[[#This Row],[Integral?]]</f>
        <v>CEARÁATUMSim</v>
      </c>
    </row>
    <row r="89" spans="1:9" x14ac:dyDescent="0.3">
      <c r="A89" t="s">
        <v>8</v>
      </c>
      <c r="B89" t="s">
        <v>50</v>
      </c>
      <c r="D89" t="s">
        <v>0</v>
      </c>
      <c r="E89" t="str">
        <f>IF(DExPARA[[#This Row],[Unidade Marítima]]="","Sim","Não")</f>
        <v>Sim</v>
      </c>
      <c r="F89" t="s">
        <v>0</v>
      </c>
      <c r="G89" t="s">
        <v>0</v>
      </c>
      <c r="H8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MARCAIOBA</v>
      </c>
      <c r="I89" t="str">
        <f>DExPARA[[#This Row],[Bacia Ajustado]]&amp;DExPARA[[#This Row],[Bloco Ajustado]]&amp;DExPARA[[#This Row],[Integral?]]</f>
        <v>SERGIPE MARCAIOBASim</v>
      </c>
    </row>
    <row r="90" spans="1:9" x14ac:dyDescent="0.3">
      <c r="A90" t="s">
        <v>17</v>
      </c>
      <c r="B90" t="s">
        <v>49</v>
      </c>
      <c r="D90" t="s">
        <v>0</v>
      </c>
      <c r="E90" t="str">
        <f>IF(DExPARA[[#This Row],[Unidade Marítima]]="","Sim","Não")</f>
        <v>Sim</v>
      </c>
      <c r="F90" t="s">
        <v>0</v>
      </c>
      <c r="G90" t="s">
        <v>0</v>
      </c>
      <c r="H9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MARCIOBA</v>
      </c>
      <c r="I90" t="str">
        <f>DExPARA[[#This Row],[Bacia Ajustado]]&amp;DExPARA[[#This Row],[Bloco Ajustado]]&amp;DExPARA[[#This Row],[Integral?]]</f>
        <v>POTIGUAR MARCIOBASim</v>
      </c>
    </row>
    <row r="91" spans="1:9" x14ac:dyDescent="0.3">
      <c r="A91" t="s">
        <v>38</v>
      </c>
      <c r="B91" t="s">
        <v>48</v>
      </c>
      <c r="D91" t="s">
        <v>0</v>
      </c>
      <c r="E91" t="str">
        <f>IF(DExPARA[[#This Row],[Unidade Marítima]]="","Sim","Não")</f>
        <v>Sim</v>
      </c>
      <c r="F91" t="s">
        <v>0</v>
      </c>
      <c r="G91" t="s">
        <v>0</v>
      </c>
      <c r="H9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CEARÁCURIMÃ</v>
      </c>
      <c r="I91" t="str">
        <f>DExPARA[[#This Row],[Bacia Ajustado]]&amp;DExPARA[[#This Row],[Bloco Ajustado]]&amp;DExPARA[[#This Row],[Integral?]]</f>
        <v>CEARÁCURIMÃSim</v>
      </c>
    </row>
    <row r="92" spans="1:9" x14ac:dyDescent="0.3">
      <c r="A92" t="s">
        <v>8</v>
      </c>
      <c r="B92" t="s">
        <v>47</v>
      </c>
      <c r="D92" t="s">
        <v>0</v>
      </c>
      <c r="E92" t="str">
        <f>IF(DExPARA[[#This Row],[Unidade Marítima]]="","Sim","Não")</f>
        <v>Sim</v>
      </c>
      <c r="F92" t="s">
        <v>0</v>
      </c>
      <c r="G92" t="s">
        <v>0</v>
      </c>
      <c r="H9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MARDOURADO</v>
      </c>
      <c r="I92" t="str">
        <f>DExPARA[[#This Row],[Bacia Ajustado]]&amp;DExPARA[[#This Row],[Bloco Ajustado]]&amp;DExPARA[[#This Row],[Integral?]]</f>
        <v>SERGIPE MARDOURADOSim</v>
      </c>
    </row>
    <row r="93" spans="1:9" x14ac:dyDescent="0.3">
      <c r="A93" t="s">
        <v>38</v>
      </c>
      <c r="B93" t="s">
        <v>46</v>
      </c>
      <c r="D93" t="s">
        <v>0</v>
      </c>
      <c r="E93" t="str">
        <f>IF(DExPARA[[#This Row],[Unidade Marítima]]="","Sim","Não")</f>
        <v>Sim</v>
      </c>
      <c r="F93" t="s">
        <v>0</v>
      </c>
      <c r="G93" t="s">
        <v>0</v>
      </c>
      <c r="H9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CEARÁESPADA</v>
      </c>
      <c r="I93" t="str">
        <f>DExPARA[[#This Row],[Bacia Ajustado]]&amp;DExPARA[[#This Row],[Bloco Ajustado]]&amp;DExPARA[[#This Row],[Integral?]]</f>
        <v>CEARÁESPADASim</v>
      </c>
    </row>
    <row r="94" spans="1:9" x14ac:dyDescent="0.3">
      <c r="A94" t="s">
        <v>8</v>
      </c>
      <c r="B94" t="s">
        <v>45</v>
      </c>
      <c r="D94" t="s">
        <v>0</v>
      </c>
      <c r="E94" t="str">
        <f>IF(DExPARA[[#This Row],[Unidade Marítima]]="","Sim","Não")</f>
        <v>Sim</v>
      </c>
      <c r="F94" t="s">
        <v>0</v>
      </c>
      <c r="G94" t="s">
        <v>0</v>
      </c>
      <c r="H9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MARGUARICEMA</v>
      </c>
      <c r="I94" t="str">
        <f>DExPARA[[#This Row],[Bacia Ajustado]]&amp;DExPARA[[#This Row],[Bloco Ajustado]]&amp;DExPARA[[#This Row],[Integral?]]</f>
        <v>SERGIPE MARGUARICEMASim</v>
      </c>
    </row>
    <row r="95" spans="1:9" x14ac:dyDescent="0.3">
      <c r="A95" t="s">
        <v>10</v>
      </c>
      <c r="B95" t="s">
        <v>44</v>
      </c>
      <c r="D95" t="s">
        <v>0</v>
      </c>
      <c r="E95" t="str">
        <f>IF(DExPARA[[#This Row],[Unidade Marítima]]="","Sim","Não")</f>
        <v>Sim</v>
      </c>
      <c r="F95" t="s">
        <v>0</v>
      </c>
      <c r="G95" t="s">
        <v>0</v>
      </c>
      <c r="H9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SANTOSMERLUZA</v>
      </c>
      <c r="I95" t="str">
        <f>DExPARA[[#This Row],[Bacia Ajustado]]&amp;DExPARA[[#This Row],[Bloco Ajustado]]&amp;DExPARA[[#This Row],[Integral?]]</f>
        <v>SANTOSMERLUZASim</v>
      </c>
    </row>
    <row r="96" spans="1:9" x14ac:dyDescent="0.3">
      <c r="A96" t="s">
        <v>43</v>
      </c>
      <c r="B96" t="s">
        <v>42</v>
      </c>
      <c r="D96" t="s">
        <v>0</v>
      </c>
      <c r="E96" t="str">
        <f>IF(DExPARA[[#This Row],[Unidade Marítima]]="","Sim","Não")</f>
        <v>Sim</v>
      </c>
      <c r="F96" t="s">
        <v>0</v>
      </c>
      <c r="G96" t="s">
        <v>0</v>
      </c>
      <c r="H9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ALMADA MARMANATI</v>
      </c>
      <c r="I96" t="str">
        <f>DExPARA[[#This Row],[Bacia Ajustado]]&amp;DExPARA[[#This Row],[Bloco Ajustado]]&amp;DExPARA[[#This Row],[Integral?]]</f>
        <v>ALMADA MARMANATISim</v>
      </c>
    </row>
    <row r="97" spans="1:9" x14ac:dyDescent="0.3">
      <c r="A97" t="s">
        <v>17</v>
      </c>
      <c r="B97" t="s">
        <v>41</v>
      </c>
      <c r="D97" t="s">
        <v>0</v>
      </c>
      <c r="E97" t="str">
        <f>IF(DExPARA[[#This Row],[Unidade Marítima]]="","Sim","Não")</f>
        <v>Sim</v>
      </c>
      <c r="F97" t="s">
        <v>0</v>
      </c>
      <c r="G97" t="s">
        <v>0</v>
      </c>
      <c r="H9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MAROESTE DE UBARANA</v>
      </c>
      <c r="I97" t="str">
        <f>DExPARA[[#This Row],[Bacia Ajustado]]&amp;DExPARA[[#This Row],[Bloco Ajustado]]&amp;DExPARA[[#This Row],[Integral?]]</f>
        <v>POTIGUAR MAROESTE DE UBARANASim</v>
      </c>
    </row>
    <row r="98" spans="1:9" x14ac:dyDescent="0.3">
      <c r="A98" t="s">
        <v>25</v>
      </c>
      <c r="B98" t="s">
        <v>40</v>
      </c>
      <c r="D98" t="s">
        <v>0</v>
      </c>
      <c r="E98" t="str">
        <f>IF(DExPARA[[#This Row],[Unidade Marítima]]="","Sim","Não")</f>
        <v>Sim</v>
      </c>
      <c r="F98" t="s">
        <v>0</v>
      </c>
      <c r="G98" t="s">
        <v>0</v>
      </c>
      <c r="H9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MARPEROÁ</v>
      </c>
      <c r="I98" t="str">
        <f>DExPARA[[#This Row],[Bacia Ajustado]]&amp;DExPARA[[#This Row],[Bloco Ajustado]]&amp;DExPARA[[#This Row],[Integral?]]</f>
        <v>ESPÍRITO SANTO MARPEROÁSim</v>
      </c>
    </row>
    <row r="99" spans="1:9" x14ac:dyDescent="0.3">
      <c r="A99" t="s">
        <v>8</v>
      </c>
      <c r="B99" t="s">
        <v>39</v>
      </c>
      <c r="D99" t="s">
        <v>0</v>
      </c>
      <c r="E99" t="str">
        <f>IF(DExPARA[[#This Row],[Unidade Marítima]]="","Sim","Não")</f>
        <v>Sim</v>
      </c>
      <c r="F99" t="s">
        <v>0</v>
      </c>
      <c r="G99" t="s">
        <v>0</v>
      </c>
      <c r="H9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MARSALGO</v>
      </c>
      <c r="I99" t="str">
        <f>DExPARA[[#This Row],[Bacia Ajustado]]&amp;DExPARA[[#This Row],[Bloco Ajustado]]&amp;DExPARA[[#This Row],[Integral?]]</f>
        <v>SERGIPE MARSALGOSim</v>
      </c>
    </row>
    <row r="100" spans="1:9" x14ac:dyDescent="0.3">
      <c r="A100" t="s">
        <v>38</v>
      </c>
      <c r="B100" t="s">
        <v>37</v>
      </c>
      <c r="D100" t="s">
        <v>0</v>
      </c>
      <c r="E100" t="str">
        <f>IF(DExPARA[[#This Row],[Unidade Marítima]]="","Sim","Não")</f>
        <v>Sim</v>
      </c>
      <c r="F100" t="s">
        <v>0</v>
      </c>
      <c r="G100" t="s">
        <v>0</v>
      </c>
      <c r="H10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CEARÁXARÉU</v>
      </c>
      <c r="I100" t="str">
        <f>DExPARA[[#This Row],[Bacia Ajustado]]&amp;DExPARA[[#This Row],[Bloco Ajustado]]&amp;DExPARA[[#This Row],[Integral?]]</f>
        <v>CEARÁXARÉUSim</v>
      </c>
    </row>
    <row r="101" spans="1:9" x14ac:dyDescent="0.3">
      <c r="A101" t="s">
        <v>10</v>
      </c>
      <c r="B101" t="s">
        <v>36</v>
      </c>
      <c r="D101" t="s">
        <v>0</v>
      </c>
      <c r="E101" t="str">
        <f>IF(DExPARA[[#This Row],[Unidade Marítima]]="","Sim","Não")</f>
        <v>Sim</v>
      </c>
      <c r="F101" t="s">
        <v>0</v>
      </c>
      <c r="G101" t="s">
        <v>0</v>
      </c>
      <c r="H10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SANTOSLAPA</v>
      </c>
      <c r="I101" t="str">
        <f>DExPARA[[#This Row],[Bacia Ajustado]]&amp;DExPARA[[#This Row],[Bloco Ajustado]]&amp;DExPARA[[#This Row],[Integral?]]</f>
        <v>SANTOSLAPASim</v>
      </c>
    </row>
    <row r="102" spans="1:9" x14ac:dyDescent="0.3">
      <c r="A102" t="s">
        <v>10</v>
      </c>
      <c r="B102" t="s">
        <v>35</v>
      </c>
      <c r="D102" t="s">
        <v>0</v>
      </c>
      <c r="E102" t="str">
        <f>IF(DExPARA[[#This Row],[Unidade Marítima]]="","Sim","Não")</f>
        <v>Sim</v>
      </c>
      <c r="F102" t="s">
        <v>0</v>
      </c>
      <c r="G102" t="s">
        <v>0</v>
      </c>
      <c r="H10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SANTOSBAÚNA</v>
      </c>
      <c r="I102" t="str">
        <f>DExPARA[[#This Row],[Bacia Ajustado]]&amp;DExPARA[[#This Row],[Bloco Ajustado]]&amp;DExPARA[[#This Row],[Integral?]]</f>
        <v>SANTOSBAÚNASim</v>
      </c>
    </row>
    <row r="103" spans="1:9" x14ac:dyDescent="0.3">
      <c r="A103" t="s">
        <v>3</v>
      </c>
      <c r="B103" t="s">
        <v>34</v>
      </c>
      <c r="D103" t="s">
        <v>0</v>
      </c>
      <c r="E103" t="str">
        <f>IF(DExPARA[[#This Row],[Unidade Marítima]]="","Sim","Não")</f>
        <v>Sim</v>
      </c>
      <c r="F103" t="s">
        <v>0</v>
      </c>
      <c r="G103" t="s">
        <v>0</v>
      </c>
      <c r="H10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MARBICUDO</v>
      </c>
      <c r="I103" t="str">
        <f>DExPARA[[#This Row],[Bacia Ajustado]]&amp;DExPARA[[#This Row],[Bloco Ajustado]]&amp;DExPARA[[#This Row],[Integral?]]</f>
        <v>CAMPOS MARBICUDOSim</v>
      </c>
    </row>
    <row r="104" spans="1:9" x14ac:dyDescent="0.3">
      <c r="A104" t="s">
        <v>3</v>
      </c>
      <c r="B104" t="s">
        <v>33</v>
      </c>
      <c r="D104" t="s">
        <v>0</v>
      </c>
      <c r="E104" t="str">
        <f>IF(DExPARA[[#This Row],[Unidade Marítima]]="","Sim","Não")</f>
        <v>Sim</v>
      </c>
      <c r="F104" t="s">
        <v>0</v>
      </c>
      <c r="G104" t="s">
        <v>0</v>
      </c>
      <c r="H10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MARCARAPEBA</v>
      </c>
      <c r="I104" t="str">
        <f>DExPARA[[#This Row],[Bacia Ajustado]]&amp;DExPARA[[#This Row],[Bloco Ajustado]]&amp;DExPARA[[#This Row],[Integral?]]</f>
        <v>CAMPOS MARCARAPEBASim</v>
      </c>
    </row>
    <row r="105" spans="1:9" x14ac:dyDescent="0.3">
      <c r="A105" t="s">
        <v>3</v>
      </c>
      <c r="B105" t="s">
        <v>32</v>
      </c>
      <c r="D105" t="s">
        <v>0</v>
      </c>
      <c r="E105" t="str">
        <f>IF(DExPARA[[#This Row],[Unidade Marítima]]="","Sim","Não")</f>
        <v>Sim</v>
      </c>
      <c r="F105" t="s">
        <v>0</v>
      </c>
      <c r="G105" t="s">
        <v>0</v>
      </c>
      <c r="H10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MARPARGO</v>
      </c>
      <c r="I105" t="str">
        <f>DExPARA[[#This Row],[Bacia Ajustado]]&amp;DExPARA[[#This Row],[Bloco Ajustado]]&amp;DExPARA[[#This Row],[Integral?]]</f>
        <v>CAMPOS MARPARGOSim</v>
      </c>
    </row>
    <row r="106" spans="1:9" x14ac:dyDescent="0.3">
      <c r="A106" t="s">
        <v>3</v>
      </c>
      <c r="B106" t="s">
        <v>31</v>
      </c>
      <c r="D106" t="s">
        <v>0</v>
      </c>
      <c r="E106" t="str">
        <f>IF(DExPARA[[#This Row],[Unidade Marítima]]="","Sim","Não")</f>
        <v>Sim</v>
      </c>
      <c r="F106" t="s">
        <v>0</v>
      </c>
      <c r="G106" t="s">
        <v>0</v>
      </c>
      <c r="H10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MARMARIMBÁ</v>
      </c>
      <c r="I106" t="str">
        <f>DExPARA[[#This Row],[Bacia Ajustado]]&amp;DExPARA[[#This Row],[Bloco Ajustado]]&amp;DExPARA[[#This Row],[Integral?]]</f>
        <v>CAMPOS MARMARIMBÁSim</v>
      </c>
    </row>
    <row r="107" spans="1:9" x14ac:dyDescent="0.3">
      <c r="A107" t="s">
        <v>3</v>
      </c>
      <c r="B107" t="s">
        <v>30</v>
      </c>
      <c r="D107" t="s">
        <v>0</v>
      </c>
      <c r="E107" t="str">
        <f>IF(DExPARA[[#This Row],[Unidade Marítima]]="","Sim","Não")</f>
        <v>Sim</v>
      </c>
      <c r="F107" t="s">
        <v>0</v>
      </c>
      <c r="G107" t="s">
        <v>0</v>
      </c>
      <c r="H10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MARENCHOVA</v>
      </c>
      <c r="I107" t="str">
        <f>DExPARA[[#This Row],[Bacia Ajustado]]&amp;DExPARA[[#This Row],[Bloco Ajustado]]&amp;DExPARA[[#This Row],[Integral?]]</f>
        <v>CAMPOS MARENCHOVASim</v>
      </c>
    </row>
    <row r="108" spans="1:9" x14ac:dyDescent="0.3">
      <c r="A108" t="s">
        <v>3</v>
      </c>
      <c r="B108" t="s">
        <v>29</v>
      </c>
      <c r="D108" t="s">
        <v>0</v>
      </c>
      <c r="E108" t="str">
        <f>IF(DExPARA[[#This Row],[Unidade Marítima]]="","Sim","Não")</f>
        <v>Sim</v>
      </c>
      <c r="F108" t="s">
        <v>0</v>
      </c>
      <c r="G108" t="s">
        <v>0</v>
      </c>
      <c r="H10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MARPAMPO</v>
      </c>
      <c r="I108" t="str">
        <f>DExPARA[[#This Row],[Bacia Ajustado]]&amp;DExPARA[[#This Row],[Bloco Ajustado]]&amp;DExPARA[[#This Row],[Integral?]]</f>
        <v>CAMPOS MARPAMPOSim</v>
      </c>
    </row>
    <row r="109" spans="1:9" x14ac:dyDescent="0.3">
      <c r="A109" t="s">
        <v>3</v>
      </c>
      <c r="B109" t="s">
        <v>28</v>
      </c>
      <c r="D109" t="s">
        <v>0</v>
      </c>
      <c r="E109" t="str">
        <f>IF(DExPARA[[#This Row],[Unidade Marítima]]="","Sim","Não")</f>
        <v>Sim</v>
      </c>
      <c r="F109" t="s">
        <v>0</v>
      </c>
      <c r="G109" t="s">
        <v>0</v>
      </c>
      <c r="H10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MARLINGUADO</v>
      </c>
      <c r="I109" t="str">
        <f>DExPARA[[#This Row],[Bacia Ajustado]]&amp;DExPARA[[#This Row],[Bloco Ajustado]]&amp;DExPARA[[#This Row],[Integral?]]</f>
        <v>CAMPOS MARLINGUADOSim</v>
      </c>
    </row>
    <row r="110" spans="1:9" x14ac:dyDescent="0.3">
      <c r="A110" t="s">
        <v>3</v>
      </c>
      <c r="B110" t="s">
        <v>27</v>
      </c>
      <c r="D110" t="s">
        <v>0</v>
      </c>
      <c r="E110" t="str">
        <f>IF(DExPARA[[#This Row],[Unidade Marítima]]="","Sim","Não")</f>
        <v>Sim</v>
      </c>
      <c r="F110" t="s">
        <v>0</v>
      </c>
      <c r="G110" t="s">
        <v>0</v>
      </c>
      <c r="H11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MARPIRAÚNA</v>
      </c>
      <c r="I110" t="str">
        <f>DExPARA[[#This Row],[Bacia Ajustado]]&amp;DExPARA[[#This Row],[Bloco Ajustado]]&amp;DExPARA[[#This Row],[Integral?]]</f>
        <v>CAMPOS MARPIRAÚNASim</v>
      </c>
    </row>
    <row r="111" spans="1:9" x14ac:dyDescent="0.3">
      <c r="A111" t="s">
        <v>3</v>
      </c>
      <c r="B111" t="s">
        <v>26</v>
      </c>
      <c r="D111" t="s">
        <v>0</v>
      </c>
      <c r="E111" t="str">
        <f>IF(DExPARA[[#This Row],[Unidade Marítima]]="","Sim","Não")</f>
        <v>Sim</v>
      </c>
      <c r="F111" t="s">
        <v>0</v>
      </c>
      <c r="G111" t="s">
        <v>0</v>
      </c>
      <c r="H11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MARVERMELHO</v>
      </c>
      <c r="I111" t="str">
        <f>DExPARA[[#This Row],[Bacia Ajustado]]&amp;DExPARA[[#This Row],[Bloco Ajustado]]&amp;DExPARA[[#This Row],[Integral?]]</f>
        <v>CAMPOS MARVERMELHOSim</v>
      </c>
    </row>
    <row r="112" spans="1:9" x14ac:dyDescent="0.3">
      <c r="A112" t="s">
        <v>25</v>
      </c>
      <c r="B112" t="s">
        <v>24</v>
      </c>
      <c r="D112" t="s">
        <v>0</v>
      </c>
      <c r="E112" t="str">
        <f>IF(DExPARA[[#This Row],[Unidade Marítima]]="","Sim","Não")</f>
        <v>Sim</v>
      </c>
      <c r="F112" t="s">
        <v>0</v>
      </c>
      <c r="G112" t="s">
        <v>0</v>
      </c>
      <c r="H11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ESPÍRITO SANTO MARCAÇÃO</v>
      </c>
      <c r="I112" t="str">
        <f>DExPARA[[#This Row],[Bacia Ajustado]]&amp;DExPARA[[#This Row],[Bloco Ajustado]]&amp;DExPARA[[#This Row],[Integral?]]</f>
        <v>ESPÍRITO SANTO MARCAÇÃOSim</v>
      </c>
    </row>
    <row r="113" spans="1:9" x14ac:dyDescent="0.3">
      <c r="A113" t="s">
        <v>17</v>
      </c>
      <c r="B113" t="s">
        <v>23</v>
      </c>
      <c r="D113" t="s">
        <v>0</v>
      </c>
      <c r="E113" t="str">
        <f>IF(DExPARA[[#This Row],[Unidade Marítima]]="","Sim","Não")</f>
        <v>Sim</v>
      </c>
      <c r="F113" t="s">
        <v>0</v>
      </c>
      <c r="G113" t="s">
        <v>0</v>
      </c>
      <c r="H11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MARUBARANA</v>
      </c>
      <c r="I113" t="str">
        <f>DExPARA[[#This Row],[Bacia Ajustado]]&amp;DExPARA[[#This Row],[Bloco Ajustado]]&amp;DExPARA[[#This Row],[Integral?]]</f>
        <v>POTIGUAR MARUBARANASim</v>
      </c>
    </row>
    <row r="114" spans="1:9" x14ac:dyDescent="0.3">
      <c r="A114" t="s">
        <v>3</v>
      </c>
      <c r="B114" t="s">
        <v>22</v>
      </c>
      <c r="D114" t="s">
        <v>0</v>
      </c>
      <c r="E114" t="str">
        <f>IF(DExPARA[[#This Row],[Unidade Marítima]]="","Sim","Não")</f>
        <v>Sim</v>
      </c>
      <c r="F114" t="s">
        <v>0</v>
      </c>
      <c r="G114" t="s">
        <v>0</v>
      </c>
      <c r="H11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MARBALEIA ANÃ</v>
      </c>
      <c r="I114" t="str">
        <f>DExPARA[[#This Row],[Bacia Ajustado]]&amp;DExPARA[[#This Row],[Bloco Ajustado]]&amp;DExPARA[[#This Row],[Integral?]]</f>
        <v>CAMPOS MARBALEIA ANÃSim</v>
      </c>
    </row>
    <row r="115" spans="1:9" x14ac:dyDescent="0.3">
      <c r="A115" t="s">
        <v>3</v>
      </c>
      <c r="B115" t="s">
        <v>19</v>
      </c>
      <c r="D115" t="s">
        <v>0</v>
      </c>
      <c r="E115" t="str">
        <f>IF(DExPARA[[#This Row],[Unidade Marítima]]="","Sim","Não")</f>
        <v>Sim</v>
      </c>
      <c r="F115" t="s">
        <v>0</v>
      </c>
      <c r="G115" t="s">
        <v>0</v>
      </c>
      <c r="H11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MARBALEIA AZUL</v>
      </c>
      <c r="I115" t="str">
        <f>DExPARA[[#This Row],[Bacia Ajustado]]&amp;DExPARA[[#This Row],[Bloco Ajustado]]&amp;DExPARA[[#This Row],[Integral?]]</f>
        <v>CAMPOS MARBALEIA AZULSim</v>
      </c>
    </row>
    <row r="116" spans="1:9" x14ac:dyDescent="0.3">
      <c r="A116" t="s">
        <v>21</v>
      </c>
      <c r="B116" t="s">
        <v>20</v>
      </c>
      <c r="D116" t="s">
        <v>0</v>
      </c>
      <c r="E116" t="str">
        <f>IF(DExPARA[[#This Row],[Unidade Marítima]]="","Sim","Não")</f>
        <v>Sim</v>
      </c>
      <c r="F116" t="s">
        <v>0</v>
      </c>
      <c r="G116" t="s">
        <v>0</v>
      </c>
      <c r="H11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N/DN/D - SUBPOOL EXP</v>
      </c>
      <c r="I116" t="str">
        <f>DExPARA[[#This Row],[Bacia Ajustado]]&amp;DExPARA[[#This Row],[Bloco Ajustado]]&amp;DExPARA[[#This Row],[Integral?]]</f>
        <v>N/DN/D - SUBPOOL EXPSim</v>
      </c>
    </row>
    <row r="117" spans="1:9" x14ac:dyDescent="0.3">
      <c r="A117" s="1" t="s">
        <v>10</v>
      </c>
      <c r="B117" s="1" t="s">
        <v>18</v>
      </c>
      <c r="D117" t="s">
        <v>0</v>
      </c>
      <c r="E117" t="str">
        <f>IF(DExPARA[[#This Row],[Unidade Marítima]]="","Sim","Não")</f>
        <v>Sim</v>
      </c>
      <c r="F117" t="s">
        <v>0</v>
      </c>
      <c r="G117" t="s">
        <v>0</v>
      </c>
      <c r="H11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SANTOSTAMBAÚ</v>
      </c>
      <c r="I117" t="str">
        <f>DExPARA[[#This Row],[Bacia Ajustado]]&amp;DExPARA[[#This Row],[Bloco Ajustado]]&amp;DExPARA[[#This Row],[Integral?]]</f>
        <v>SANTOSTAMBAÚSim</v>
      </c>
    </row>
    <row r="118" spans="1:9" x14ac:dyDescent="0.3">
      <c r="A118" s="1" t="s">
        <v>17</v>
      </c>
      <c r="B118" s="1" t="s">
        <v>16</v>
      </c>
      <c r="D118" t="s">
        <v>0</v>
      </c>
      <c r="E118" t="str">
        <f>IF(DExPARA[[#This Row],[Unidade Marítima]]="","Sim","Não")</f>
        <v>Sim</v>
      </c>
      <c r="F118" t="s">
        <v>0</v>
      </c>
      <c r="G118" t="s">
        <v>0</v>
      </c>
      <c r="H11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POTIGUAR MARPOT-M-952 - SUBPOOL MEQ</v>
      </c>
      <c r="I118" t="str">
        <f>DExPARA[[#This Row],[Bacia Ajustado]]&amp;DExPARA[[#This Row],[Bloco Ajustado]]&amp;DExPARA[[#This Row],[Integral?]]</f>
        <v>POTIGUAR MARPOT-M-952 - SUBPOOL MEQSim</v>
      </c>
    </row>
    <row r="119" spans="1:9" x14ac:dyDescent="0.3">
      <c r="A119" s="1" t="s">
        <v>8</v>
      </c>
      <c r="B119" s="1" t="s">
        <v>15</v>
      </c>
      <c r="D119" t="s">
        <v>0</v>
      </c>
      <c r="E119" t="str">
        <f>IF(DExPARA[[#This Row],[Unidade Marítima]]="","Sim","Não")</f>
        <v>Sim</v>
      </c>
      <c r="F119" t="s">
        <v>0</v>
      </c>
      <c r="G119" t="s">
        <v>0</v>
      </c>
      <c r="H119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MARBUDIÃO NOROESTE - SUBPOOL SEAP</v>
      </c>
      <c r="I119" t="str">
        <f>DExPARA[[#This Row],[Bacia Ajustado]]&amp;DExPARA[[#This Row],[Bloco Ajustado]]&amp;DExPARA[[#This Row],[Integral?]]</f>
        <v>SERGIPE MARBUDIÃO NOROESTE - SUBPOOL SEAPSim</v>
      </c>
    </row>
    <row r="120" spans="1:9" x14ac:dyDescent="0.3">
      <c r="A120" s="1" t="s">
        <v>8</v>
      </c>
      <c r="B120" s="1" t="s">
        <v>14</v>
      </c>
      <c r="D120" t="s">
        <v>0</v>
      </c>
      <c r="E120" t="str">
        <f>IF(DExPARA[[#This Row],[Unidade Marítima]]="","Sim","Não")</f>
        <v>Sim</v>
      </c>
      <c r="F120" t="s">
        <v>0</v>
      </c>
      <c r="G120" t="s">
        <v>0</v>
      </c>
      <c r="H120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MARBUDIÃO SUDESTE - SUBPOOL SEAP</v>
      </c>
      <c r="I120" t="str">
        <f>DExPARA[[#This Row],[Bacia Ajustado]]&amp;DExPARA[[#This Row],[Bloco Ajustado]]&amp;DExPARA[[#This Row],[Integral?]]</f>
        <v>SERGIPE MARBUDIÃO SUDESTE - SUBPOOL SEAPSim</v>
      </c>
    </row>
    <row r="121" spans="1:9" x14ac:dyDescent="0.3">
      <c r="A121" s="1" t="s">
        <v>8</v>
      </c>
      <c r="B121" s="1" t="s">
        <v>13</v>
      </c>
      <c r="D121" t="s">
        <v>0</v>
      </c>
      <c r="E121" t="str">
        <f>IF(DExPARA[[#This Row],[Unidade Marítima]]="","Sim","Não")</f>
        <v>Sim</v>
      </c>
      <c r="F121" t="s">
        <v>0</v>
      </c>
      <c r="G121" t="s">
        <v>0</v>
      </c>
      <c r="H121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MARCAVALA - SUBPOOL SEAP</v>
      </c>
      <c r="I121" t="str">
        <f>DExPARA[[#This Row],[Bacia Ajustado]]&amp;DExPARA[[#This Row],[Bloco Ajustado]]&amp;DExPARA[[#This Row],[Integral?]]</f>
        <v>SERGIPE MARCAVALA - SUBPOOL SEAPSim</v>
      </c>
    </row>
    <row r="122" spans="1:9" x14ac:dyDescent="0.3">
      <c r="A122" s="1" t="s">
        <v>12</v>
      </c>
      <c r="B122" s="1" t="s">
        <v>12</v>
      </c>
      <c r="D122" t="s">
        <v>0</v>
      </c>
      <c r="E122" t="str">
        <f>IF(DExPARA[[#This Row],[Unidade Marítima]]="","Sim","Não")</f>
        <v>Sim</v>
      </c>
      <c r="F122" t="s">
        <v>0</v>
      </c>
      <c r="G122" t="s">
        <v>0</v>
      </c>
      <c r="H122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#N/D#N/D</v>
      </c>
      <c r="I122" t="str">
        <f>DExPARA[[#This Row],[Bacia Ajustado]]&amp;DExPARA[[#This Row],[Bloco Ajustado]]&amp;DExPARA[[#This Row],[Integral?]]</f>
        <v>#N/D#N/DSim</v>
      </c>
    </row>
    <row r="123" spans="1:9" x14ac:dyDescent="0.3">
      <c r="A123" s="1" t="s">
        <v>3</v>
      </c>
      <c r="B123" s="1" t="s">
        <v>11</v>
      </c>
      <c r="D123" t="s">
        <v>0</v>
      </c>
      <c r="E123" t="str">
        <f>IF(DExPARA[[#This Row],[Unidade Marítima]]="","Sim","Não")</f>
        <v>Sim</v>
      </c>
      <c r="F123" t="s">
        <v>0</v>
      </c>
      <c r="G123" t="s">
        <v>0</v>
      </c>
      <c r="H123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MARANEQUIM</v>
      </c>
      <c r="I123" t="str">
        <f>DExPARA[[#This Row],[Bacia Ajustado]]&amp;DExPARA[[#This Row],[Bloco Ajustado]]&amp;DExPARA[[#This Row],[Integral?]]</f>
        <v>CAMPOS MARANEQUIMSim</v>
      </c>
    </row>
    <row r="124" spans="1:9" x14ac:dyDescent="0.3">
      <c r="A124" s="1" t="s">
        <v>10</v>
      </c>
      <c r="B124" s="1" t="s">
        <v>9</v>
      </c>
      <c r="D124" t="s">
        <v>0</v>
      </c>
      <c r="E124" t="str">
        <f>IF(DExPARA[[#This Row],[Unidade Marítima]]="","Sim","Não")</f>
        <v>Sim</v>
      </c>
      <c r="F124" t="s">
        <v>0</v>
      </c>
      <c r="G124" t="s">
        <v>0</v>
      </c>
      <c r="H124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SANTOSLAGOSTA</v>
      </c>
      <c r="I124" t="str">
        <f>DExPARA[[#This Row],[Bacia Ajustado]]&amp;DExPARA[[#This Row],[Bloco Ajustado]]&amp;DExPARA[[#This Row],[Integral?]]</f>
        <v>SANTOSLAGOSTASim</v>
      </c>
    </row>
    <row r="125" spans="1:9" x14ac:dyDescent="0.3">
      <c r="A125" s="1" t="s">
        <v>8</v>
      </c>
      <c r="B125" s="1" t="s">
        <v>7</v>
      </c>
      <c r="D125" t="s">
        <v>0</v>
      </c>
      <c r="E125" t="str">
        <f>IF(DExPARA[[#This Row],[Unidade Marítima]]="","Sim","Não")</f>
        <v>Sim</v>
      </c>
      <c r="F125" t="s">
        <v>0</v>
      </c>
      <c r="G125" t="s">
        <v>0</v>
      </c>
      <c r="H125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SERGIPE MARPALOMBETA - SUBPOOL SEAP</v>
      </c>
      <c r="I125" t="str">
        <f>DExPARA[[#This Row],[Bacia Ajustado]]&amp;DExPARA[[#This Row],[Bloco Ajustado]]&amp;DExPARA[[#This Row],[Integral?]]</f>
        <v>SERGIPE MARPALOMBETA - SUBPOOL SEAPSim</v>
      </c>
    </row>
    <row r="126" spans="1:9" x14ac:dyDescent="0.3">
      <c r="A126" t="s">
        <v>6</v>
      </c>
      <c r="B126" t="s">
        <v>5</v>
      </c>
      <c r="D126" t="s">
        <v>0</v>
      </c>
      <c r="E126" t="str">
        <f>IF(DExPARA[[#This Row],[Unidade Marítima]]="","Sim","Não")</f>
        <v>Sim</v>
      </c>
      <c r="F126" t="s">
        <v>0</v>
      </c>
      <c r="G126" t="s">
        <v>0</v>
      </c>
      <c r="H126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GUAJIRA OFFSHOREGUA-OFF-0</v>
      </c>
      <c r="I126" t="str">
        <f>DExPARA[[#This Row],[Bacia Ajustado]]&amp;DExPARA[[#This Row],[Bloco Ajustado]]&amp;DExPARA[[#This Row],[Integral?]]</f>
        <v>GUAJIRA OFFSHOREGUA-OFF-0Sim</v>
      </c>
    </row>
    <row r="127" spans="1:9" x14ac:dyDescent="0.3">
      <c r="A127" t="s">
        <v>3</v>
      </c>
      <c r="B127" t="s">
        <v>2</v>
      </c>
      <c r="C127" t="s">
        <v>4</v>
      </c>
      <c r="D127" t="s">
        <v>0</v>
      </c>
      <c r="E127" t="str">
        <f>IF(DExPARA[[#This Row],[Unidade Marítima]]="","Sim","Não")</f>
        <v>Não</v>
      </c>
      <c r="F127" t="s">
        <v>0</v>
      </c>
      <c r="G127" t="s">
        <v>0</v>
      </c>
      <c r="H127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MARJUBARTEP-57</v>
      </c>
      <c r="I127" t="str">
        <f>DExPARA[[#This Row],[Bacia Ajustado]]&amp;DExPARA[[#This Row],[Bloco Ajustado]]&amp;DExPARA[[#This Row],[Integral?]]</f>
        <v>CAMPOS MARJUBARTENão</v>
      </c>
    </row>
    <row r="128" spans="1:9" x14ac:dyDescent="0.3">
      <c r="A128" t="s">
        <v>3</v>
      </c>
      <c r="B128" t="s">
        <v>2</v>
      </c>
      <c r="C128" t="s">
        <v>1</v>
      </c>
      <c r="D128" t="s">
        <v>0</v>
      </c>
      <c r="E128" t="str">
        <f>IF(DExPARA[[#This Row],[Unidade Marítima]]="","Sim","Não")</f>
        <v>Não</v>
      </c>
      <c r="F128" t="s">
        <v>0</v>
      </c>
      <c r="G128" t="s">
        <v>0</v>
      </c>
      <c r="H128" t="str">
        <f>IF(DExPARA[[#This Row],[Unidade Marítima]]="",DExPARA[[#This Row],[Bacia Ajustado]]&amp;DExPARA[[#This Row],[Bloco Ajustado]],DExPARA[[#This Row],[Bacia Ajustado]]&amp;DExPARA[[#This Row],[Bloco Ajustado]]&amp;DExPARA[[#This Row],[Unidade Marítima]])</f>
        <v>CAMPOS MARJUBARTEP-58</v>
      </c>
      <c r="I128" t="str">
        <f>DExPARA[[#This Row],[Bacia Ajustado]]&amp;DExPARA[[#This Row],[Bloco Ajustado]]&amp;DExPARA[[#This Row],[Integral?]]</f>
        <v>CAMPOS MARJUBARTENão</v>
      </c>
    </row>
  </sheetData>
  <pageMargins left="0.511811024" right="0.511811024" top="0.78740157499999996" bottom="0.78740157499999996" header="0.31496062000000002" footer="0.31496062000000002"/>
  <headerFooter>
    <oddFooter>&amp;C_x000D_&amp;1#&amp;"Arial Black"&amp;11&amp;K737373 PÚBLICA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 x 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Knust Sant Anna Filho</dc:creator>
  <cp:lastModifiedBy>Marcelo Knust Sant Anna Filho</cp:lastModifiedBy>
  <dcterms:created xsi:type="dcterms:W3CDTF">2026-06-24T18:37:36Z</dcterms:created>
  <dcterms:modified xsi:type="dcterms:W3CDTF">2026-06-25T18:29:21Z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006dd2-fbe3-4519-88e6-262e73109866_Enabled">
    <vt:lpwstr>true</vt:lpwstr>
  </property>
  <property fmtid="{D5CDD505-2E9C-101B-9397-08002B2CF9AE}" pid="3" name="MSIP_Label_86006dd2-fbe3-4519-88e6-262e73109866_SetDate">
    <vt:lpwstr>2026-06-24T18:38:12Z</vt:lpwstr>
  </property>
  <property fmtid="{D5CDD505-2E9C-101B-9397-08002B2CF9AE}" pid="4" name="MSIP_Label_86006dd2-fbe3-4519-88e6-262e73109866_Method">
    <vt:lpwstr>Privileged</vt:lpwstr>
  </property>
  <property fmtid="{D5CDD505-2E9C-101B-9397-08002B2CF9AE}" pid="5" name="MSIP_Label_86006dd2-fbe3-4519-88e6-262e73109866_Name">
    <vt:lpwstr>Pública</vt:lpwstr>
  </property>
  <property fmtid="{D5CDD505-2E9C-101B-9397-08002B2CF9AE}" pid="6" name="MSIP_Label_86006dd2-fbe3-4519-88e6-262e73109866_SiteId">
    <vt:lpwstr>46f6a780-86e1-4570-9459-bb97b7d99f9d</vt:lpwstr>
  </property>
  <property fmtid="{D5CDD505-2E9C-101B-9397-08002B2CF9AE}" pid="7" name="MSIP_Label_86006dd2-fbe3-4519-88e6-262e73109866_ActionId">
    <vt:lpwstr>83d58590-6209-406d-a72d-286e8a0854a7</vt:lpwstr>
  </property>
  <property fmtid="{D5CDD505-2E9C-101B-9397-08002B2CF9AE}" pid="8" name="MSIP_Label_86006dd2-fbe3-4519-88e6-262e73109866_ContentBits">
    <vt:lpwstr>2</vt:lpwstr>
  </property>
  <property fmtid="{D5CDD505-2E9C-101B-9397-08002B2CF9AE}" pid="9" name="MSIP_Label_86006dd2-fbe3-4519-88e6-262e73109866_Tag">
    <vt:lpwstr>10, 0, 1, 1</vt:lpwstr>
  </property>
</Properties>
</file>